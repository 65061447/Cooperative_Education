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santirat\Documents\"/>
    </mc:Choice>
  </mc:AlternateContent>
  <bookViews>
    <workbookView xWindow="0" yWindow="0" windowWidth="28800" windowHeight="12435"/>
  </bookViews>
  <sheets>
    <sheet name="6." sheetId="1" r:id="rId1"/>
    <sheet name="13" sheetId="2" r:id="rId2"/>
    <sheet name="14" sheetId="3" r:id="rId3"/>
    <sheet name="18.สาเหตุ" sheetId="4" r:id="rId4"/>
    <sheet name="โรค" sheetId="5" r:id="rId5"/>
    <sheet name="19.สิ่ง" sheetId="6" r:id="rId6"/>
    <sheet name="20.อวัยวะ" sheetId="7" r:id="rId7"/>
    <sheet name="21.ผล" sheetId="8" r:id="rId8"/>
    <sheet name="22.อายุ" sheetId="9" r:id="rId9"/>
    <sheet name="23.ขนาด" sheetId="10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10" l="1"/>
  <c r="E16" i="10"/>
  <c r="D16" i="10"/>
  <c r="C16" i="10"/>
  <c r="B16" i="10"/>
  <c r="G15" i="10"/>
  <c r="G14" i="10"/>
  <c r="G13" i="10"/>
  <c r="G12" i="10"/>
  <c r="G11" i="10"/>
  <c r="G10" i="10"/>
  <c r="G9" i="10"/>
  <c r="G8" i="10"/>
  <c r="G16" i="10" s="1"/>
  <c r="F20" i="9"/>
  <c r="E20" i="9"/>
  <c r="D20" i="9"/>
  <c r="C20" i="9"/>
  <c r="B20" i="9"/>
  <c r="G19" i="9"/>
  <c r="G18" i="9"/>
  <c r="G17" i="9"/>
  <c r="G16" i="9"/>
  <c r="G15" i="9"/>
  <c r="G14" i="9"/>
  <c r="G13" i="9"/>
  <c r="G12" i="9"/>
  <c r="G11" i="9"/>
  <c r="G10" i="9"/>
  <c r="G9" i="9"/>
  <c r="G8" i="9"/>
  <c r="G20" i="9" s="1"/>
  <c r="F28" i="8"/>
  <c r="E28" i="8"/>
  <c r="D28" i="8"/>
  <c r="C28" i="8"/>
  <c r="B28" i="8"/>
  <c r="G26" i="8"/>
  <c r="G25" i="8"/>
  <c r="G24" i="8"/>
  <c r="G23" i="8"/>
  <c r="G21" i="8"/>
  <c r="G19" i="8"/>
  <c r="G18" i="8"/>
  <c r="G17" i="8"/>
  <c r="G16" i="8"/>
  <c r="G15" i="8"/>
  <c r="G14" i="8"/>
  <c r="G13" i="8"/>
  <c r="G11" i="8"/>
  <c r="G10" i="8"/>
  <c r="G9" i="8"/>
  <c r="G8" i="8"/>
  <c r="G28" i="8" s="1"/>
  <c r="F35" i="7"/>
  <c r="E35" i="7"/>
  <c r="D35" i="7"/>
  <c r="C35" i="7"/>
  <c r="B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35" i="7" s="1"/>
  <c r="F24" i="6"/>
  <c r="E24" i="6"/>
  <c r="D24" i="6"/>
  <c r="C24" i="6"/>
  <c r="B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24" i="6" s="1"/>
  <c r="H28" i="5"/>
  <c r="G28" i="5"/>
  <c r="F28" i="5"/>
  <c r="E28" i="5"/>
  <c r="D28" i="5"/>
  <c r="I26" i="5"/>
  <c r="I24" i="5"/>
  <c r="I22" i="5"/>
  <c r="I21" i="5"/>
  <c r="I28" i="5" s="1"/>
  <c r="I19" i="5"/>
  <c r="I18" i="5"/>
  <c r="I16" i="5"/>
  <c r="I14" i="5"/>
  <c r="I13" i="5"/>
  <c r="F34" i="4"/>
  <c r="E34" i="4"/>
  <c r="D34" i="4"/>
  <c r="C34" i="4"/>
  <c r="B34" i="4"/>
  <c r="G33" i="4"/>
  <c r="G32" i="4"/>
  <c r="G31" i="4"/>
  <c r="G29" i="4"/>
  <c r="G28" i="4"/>
  <c r="G27" i="4"/>
  <c r="G26" i="4"/>
  <c r="G25" i="4"/>
  <c r="G24" i="4"/>
  <c r="G23" i="4"/>
  <c r="G22" i="4"/>
  <c r="G21" i="4"/>
  <c r="G20" i="4"/>
  <c r="G19" i="4"/>
  <c r="G18" i="4"/>
  <c r="G16" i="4"/>
  <c r="G15" i="4"/>
  <c r="G14" i="4"/>
  <c r="G13" i="4"/>
  <c r="G12" i="4"/>
  <c r="G11" i="4"/>
  <c r="G10" i="4"/>
  <c r="G9" i="4"/>
  <c r="G8" i="4"/>
  <c r="G34" i="4" s="1"/>
  <c r="F29" i="3"/>
  <c r="E29" i="3"/>
  <c r="D29" i="3"/>
  <c r="C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G10" i="3"/>
  <c r="H10" i="3" s="1"/>
  <c r="H9" i="3"/>
  <c r="H8" i="3"/>
  <c r="H193" i="2"/>
  <c r="H194" i="2" s="1"/>
  <c r="G193" i="2"/>
  <c r="G194" i="2" s="1"/>
  <c r="F193" i="2"/>
  <c r="F194" i="2" s="1"/>
  <c r="E193" i="2"/>
  <c r="E194" i="2" s="1"/>
  <c r="D193" i="2"/>
  <c r="D194" i="2" s="1"/>
  <c r="C193" i="2"/>
  <c r="C194" i="2" s="1"/>
  <c r="B193" i="2"/>
  <c r="B194" i="2" s="1"/>
  <c r="I192" i="2"/>
  <c r="I191" i="2"/>
  <c r="I190" i="2"/>
  <c r="I189" i="2"/>
  <c r="I188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93" i="2" s="1"/>
  <c r="I166" i="2"/>
  <c r="I165" i="2"/>
  <c r="I164" i="2"/>
  <c r="I163" i="2"/>
  <c r="I162" i="2"/>
  <c r="H161" i="2"/>
  <c r="G161" i="2"/>
  <c r="F161" i="2"/>
  <c r="E161" i="2"/>
  <c r="D161" i="2"/>
  <c r="C161" i="2"/>
  <c r="B161" i="2"/>
  <c r="I160" i="2"/>
  <c r="I159" i="2"/>
  <c r="I158" i="2"/>
  <c r="I157" i="2"/>
  <c r="I156" i="2"/>
  <c r="I155" i="2"/>
  <c r="I154" i="2"/>
  <c r="I153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61" i="2" s="1"/>
  <c r="I125" i="2"/>
  <c r="I124" i="2"/>
  <c r="I123" i="2"/>
  <c r="H122" i="2"/>
  <c r="G122" i="2"/>
  <c r="F122" i="2"/>
  <c r="E122" i="2"/>
  <c r="D122" i="2"/>
  <c r="C122" i="2"/>
  <c r="B122" i="2"/>
  <c r="I121" i="2"/>
  <c r="I120" i="2"/>
  <c r="I119" i="2"/>
  <c r="I118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122" i="2" s="1"/>
  <c r="H87" i="2"/>
  <c r="G87" i="2"/>
  <c r="F87" i="2"/>
  <c r="E87" i="2"/>
  <c r="D87" i="2"/>
  <c r="C87" i="2"/>
  <c r="B87" i="2"/>
  <c r="I86" i="2"/>
  <c r="I85" i="2"/>
  <c r="I84" i="2"/>
  <c r="I83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87" i="2" s="1"/>
  <c r="I43" i="2"/>
  <c r="H33" i="2"/>
  <c r="G33" i="2"/>
  <c r="F33" i="2"/>
  <c r="E33" i="2"/>
  <c r="D33" i="2"/>
  <c r="C33" i="2"/>
  <c r="B33" i="2"/>
  <c r="I32" i="2"/>
  <c r="I31" i="2"/>
  <c r="I30" i="2"/>
  <c r="I29" i="2"/>
  <c r="I28" i="2"/>
  <c r="I27" i="2"/>
  <c r="I26" i="2"/>
  <c r="I25" i="2"/>
  <c r="I24" i="2"/>
  <c r="I23" i="2"/>
  <c r="I22" i="2"/>
  <c r="I21" i="2"/>
  <c r="I33" i="2" s="1"/>
  <c r="H20" i="2"/>
  <c r="G20" i="2"/>
  <c r="F20" i="2"/>
  <c r="E20" i="2"/>
  <c r="D20" i="2"/>
  <c r="C20" i="2"/>
  <c r="B20" i="2"/>
  <c r="I19" i="2"/>
  <c r="I18" i="2"/>
  <c r="I17" i="2"/>
  <c r="I16" i="2"/>
  <c r="I15" i="2"/>
  <c r="I14" i="2"/>
  <c r="I13" i="2"/>
  <c r="I12" i="2"/>
  <c r="I11" i="2"/>
  <c r="I10" i="2"/>
  <c r="I9" i="2"/>
  <c r="I20" i="2" s="1"/>
  <c r="I8" i="2"/>
  <c r="F46" i="1"/>
  <c r="E46" i="1"/>
  <c r="D46" i="1"/>
  <c r="C46" i="1"/>
  <c r="B46" i="1"/>
  <c r="G45" i="1"/>
  <c r="G44" i="1"/>
  <c r="G43" i="1"/>
  <c r="G42" i="1"/>
  <c r="G41" i="1"/>
  <c r="G40" i="1"/>
  <c r="G39" i="1"/>
  <c r="G38" i="1"/>
  <c r="G37" i="1"/>
  <c r="G36" i="1"/>
  <c r="G35" i="1"/>
  <c r="G34" i="1"/>
  <c r="G46" i="1" s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I194" i="2" l="1"/>
  <c r="H29" i="3"/>
  <c r="G29" i="3"/>
</calcChain>
</file>

<file path=xl/sharedStrings.xml><?xml version="1.0" encoding="utf-8"?>
<sst xmlns="http://schemas.openxmlformats.org/spreadsheetml/2006/main" count="624" uniqueCount="408">
  <si>
    <t xml:space="preserve">ตารางที่ 6  จำนวนวินิจฉัยการประสบอันตรายหรือเจ็บป่วยเนื่องจากการทำงาน </t>
  </si>
  <si>
    <t>ปี 2558 - 2568</t>
  </si>
  <si>
    <t>ปี/เดือน</t>
  </si>
  <si>
    <t>ความรุนแรง</t>
  </si>
  <si>
    <t>ตาย</t>
  </si>
  <si>
    <t>ทุพพลภาพ</t>
  </si>
  <si>
    <t>สูญเสียอวัยวะ</t>
  </si>
  <si>
    <t>หยุดงาน</t>
  </si>
  <si>
    <t>รวม</t>
  </si>
  <si>
    <t>บางส่วน</t>
  </si>
  <si>
    <t>เกิน 3 วัน</t>
  </si>
  <si>
    <t>ไม่เกิน 3 วัน</t>
  </si>
  <si>
    <t>(ราย)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</si>
  <si>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</si>
  <si>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</si>
  <si>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</si>
  <si>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</si>
  <si>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</si>
  <si>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</si>
  <si>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</si>
  <si>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</si>
  <si>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</si>
  <si>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</si>
  <si>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</si>
  <si>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</si>
  <si>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รวม(ม.ค.-ธ.ค.)</t>
  </si>
  <si>
    <t>หมายเหตุ :</t>
  </si>
  <si>
    <t>ที่มา : กลุ่มงานพัฒนามาตรฐานและระบบเงินทดแทน</t>
  </si>
  <si>
    <t xml:space="preserve">  1. ประมวลผล ณ 7 มกราคม 2569</t>
  </si>
  <si>
    <t xml:space="preserve">   </t>
  </si>
  <si>
    <t xml:space="preserve">ตารางที่ 22  จำนวนนายจ้าง จำนวนลูกจ้าง และจำนวนวินิจฉัยการประสบอันตราย </t>
  </si>
  <si>
    <t>หรือเจ็บป่วยเนื่องจากการทำงานจำแนกรายหน่วยงาน ปี 2568</t>
  </si>
  <si>
    <t>หน่วยงาน</t>
  </si>
  <si>
    <t>นายจ้าง 
(แห่ง)</t>
  </si>
  <si>
    <t>ลูกจ้าง
(คน)</t>
  </si>
  <si>
    <t>จำนวนการประสบอันตราย (ม.ค.-ธ.ค.)</t>
  </si>
  <si>
    <t>ทุพพล
ภาพ</t>
  </si>
  <si>
    <t>สูญเสีย</t>
  </si>
  <si>
    <t>อวัยวะ</t>
  </si>
  <si>
    <t>เกิน</t>
  </si>
  <si>
    <t>ไม่เกิน</t>
  </si>
  <si>
    <t>3 วัน</t>
  </si>
  <si>
    <t>กรุงเทพมหานครพื้นที่ 1</t>
  </si>
  <si>
    <t>กรุงเทพมหานครพื้นที่ 2</t>
  </si>
  <si>
    <t>กรุงเทพมหานครพื้นที่ 3</t>
  </si>
  <si>
    <t>กรุงเทพมหานครพื้นที่ 4</t>
  </si>
  <si>
    <t>กรุงเทพมหานครพื้นที่ 5</t>
  </si>
  <si>
    <t>กรุงเทพมหานครพื้นที่ 6</t>
  </si>
  <si>
    <t>กรุงเทพมหานครพื้นที่ 7</t>
  </si>
  <si>
    <t>กรุงเทพมหานครพื้นที่ 8</t>
  </si>
  <si>
    <t>กรุงเทพมหานครพื้นที่ 9</t>
  </si>
  <si>
    <t>กรุงเทพมหานครพื้นที่ 10</t>
  </si>
  <si>
    <t>กรุงเทพมหานครพื้นที่ 11</t>
  </si>
  <si>
    <t>กรุงเทพมหานครพื้นที่ 12</t>
  </si>
  <si>
    <t>รวมกรุงเทพมหานคร</t>
  </si>
  <si>
    <t>สมุทรปราการ</t>
  </si>
  <si>
    <t>สาขาพระประแดง</t>
  </si>
  <si>
    <t>สาขาบางเสาธง</t>
  </si>
  <si>
    <t>สาขาบางพลี</t>
  </si>
  <si>
    <t>นนทบุรี</t>
  </si>
  <si>
    <t>สาขาบางบัวทอง</t>
  </si>
  <si>
    <t>ปทุมธานี</t>
  </si>
  <si>
    <t>สาขาคลองหลวง</t>
  </si>
  <si>
    <t>นครปฐม</t>
  </si>
  <si>
    <t>สาขาสามพราน</t>
  </si>
  <si>
    <t>สมุทรสาคร</t>
  </si>
  <si>
    <t>สาขากระทุ่มแบน</t>
  </si>
  <si>
    <t>รวม 5 จังหวัดรอบกรุงเทพฯ</t>
  </si>
  <si>
    <t>หรือเจ็บป่วยเนื่องจากการทำงาน  จำแนกรายหน่วยงาน ปี 2568 (ต่อ)</t>
  </si>
  <si>
    <t>พระนครศรีอยุธยา</t>
  </si>
  <si>
    <t>สาขาอุทัย</t>
  </si>
  <si>
    <t>อ่างทอง</t>
  </si>
  <si>
    <t>ลพบุรี</t>
  </si>
  <si>
    <t>สาขาชัยบาดาล</t>
  </si>
  <si>
    <t>สิงห์บุรี</t>
  </si>
  <si>
    <t>ชัยนาท</t>
  </si>
  <si>
    <t>สระบุรี</t>
  </si>
  <si>
    <t>สาขาหนองแค</t>
  </si>
  <si>
    <t>ชลบุรี</t>
  </si>
  <si>
    <t>สาขาศรีราชา</t>
  </si>
  <si>
    <t>สาขาบางละมุง</t>
  </si>
  <si>
    <t>ระยอง</t>
  </si>
  <si>
    <t>สาขาปลวกแดง</t>
  </si>
  <si>
    <t>จันทบุรี</t>
  </si>
  <si>
    <t>สาขาสอยดาว</t>
  </si>
  <si>
    <t>ตราด</t>
  </si>
  <si>
    <t>ฉะเชิงเทรา</t>
  </si>
  <si>
    <t>สาขาบางปะกง</t>
  </si>
  <si>
    <t>สาขาพนมสารคาม</t>
  </si>
  <si>
    <t>ปราจีนบุรี</t>
  </si>
  <si>
    <t>สาขาศรีมหาโพธิ</t>
  </si>
  <si>
    <t>นครนายก</t>
  </si>
  <si>
    <t>สระแก้ว</t>
  </si>
  <si>
    <t>สาขาอรัญประเทศ</t>
  </si>
  <si>
    <t>ราชบุรี</t>
  </si>
  <si>
    <t>สาขาบ้านโป่ง</t>
  </si>
  <si>
    <t>กาญจนบุรี</t>
  </si>
  <si>
    <t>สาขาท่ามะกา</t>
  </si>
  <si>
    <t>สุพรรณบุรี</t>
  </si>
  <si>
    <t>สาขาสามชุก</t>
  </si>
  <si>
    <t>สมุทรสงคราม</t>
  </si>
  <si>
    <t>หรือเจ็บป่วยเนื่องจากการทำงาน  จำแนกรายหน่วยงาน ปี 2568(ต่อ)</t>
  </si>
  <si>
    <t>เพชรบุรี</t>
  </si>
  <si>
    <t>สาขาชะอำ</t>
  </si>
  <si>
    <t>ประจวบคีรีขันธ์</t>
  </si>
  <si>
    <t>สาขาหัวหิน</t>
  </si>
  <si>
    <t>รวมภาคกลาง</t>
  </si>
  <si>
    <t>เชียงใหม่</t>
  </si>
  <si>
    <t>สาขาฝาง</t>
  </si>
  <si>
    <t>ลำพูน</t>
  </si>
  <si>
    <t>สาขาบ้านโฮ่ง</t>
  </si>
  <si>
    <t>ลำปาง</t>
  </si>
  <si>
    <t>สาขาเถิน</t>
  </si>
  <si>
    <t>อุตรดิตถ์</t>
  </si>
  <si>
    <t>แพร่</t>
  </si>
  <si>
    <t>สาขาลอง</t>
  </si>
  <si>
    <t>น่าน</t>
  </si>
  <si>
    <t>สาขาปัว</t>
  </si>
  <si>
    <t>พะเยา</t>
  </si>
  <si>
    <t>เชียงราย</t>
  </si>
  <si>
    <t>แม่ฮ่องสอน</t>
  </si>
  <si>
    <t>นครสวรรค์</t>
  </si>
  <si>
    <t>สาขาตาคลี</t>
  </si>
  <si>
    <t>อุทัยธานี</t>
  </si>
  <si>
    <t>กำแพงเพชร</t>
  </si>
  <si>
    <t>ตาก</t>
  </si>
  <si>
    <t>สาขาแม่สอด</t>
  </si>
  <si>
    <t>สุโขทัย</t>
  </si>
  <si>
    <t>พิษณุโลก</t>
  </si>
  <si>
    <t>สาขาวังทอง</t>
  </si>
  <si>
    <t>พิจิตร</t>
  </si>
  <si>
    <t>เพชรบูรณ์</t>
  </si>
  <si>
    <t>สาขาหล่มสัก</t>
  </si>
  <si>
    <t>รวมภาคเหนือ</t>
  </si>
  <si>
    <t>นครราชสีมา</t>
  </si>
  <si>
    <t>สาขาปากช่อง</t>
  </si>
  <si>
    <t>สาขาโนนสูง</t>
  </si>
  <si>
    <t>บุรีรัมย์</t>
  </si>
  <si>
    <t>สาขานางรอง</t>
  </si>
  <si>
    <t>สุรินทร์</t>
  </si>
  <si>
    <t>สาขาศีขรภูมิ</t>
  </si>
  <si>
    <t>ศรีสะเกษ</t>
  </si>
  <si>
    <t>อุบลราชธานี</t>
  </si>
  <si>
    <t>สาขาเดชอุดม</t>
  </si>
  <si>
    <t>ยโสธร</t>
  </si>
  <si>
    <t>ชัยภูมิ</t>
  </si>
  <si>
    <t>อำนาจเจริญ</t>
  </si>
  <si>
    <t>บึงกาฬ</t>
  </si>
  <si>
    <t>หนองบัวลำภู</t>
  </si>
  <si>
    <t>ขอนแก่น</t>
  </si>
  <si>
    <t>สาขาชุมแพ</t>
  </si>
  <si>
    <t>สาขาบ้านไผ่</t>
  </si>
  <si>
    <t>อุดรธานี</t>
  </si>
  <si>
    <t>สาขากุมภวาปี</t>
  </si>
  <si>
    <t>เลย</t>
  </si>
  <si>
    <t>หนองคาย</t>
  </si>
  <si>
    <t>มหาสารคาม</t>
  </si>
  <si>
    <t>ร้อยเอ็ด</t>
  </si>
  <si>
    <t>สาขาโพนทอง</t>
  </si>
  <si>
    <t>กาฬสินธุ์</t>
  </si>
  <si>
    <t>สกลนคร</t>
  </si>
  <si>
    <t>สาขาสว่างแดนดิน</t>
  </si>
  <si>
    <t>นครพนม</t>
  </si>
  <si>
    <t>มุกดาหาร</t>
  </si>
  <si>
    <t>รวมภาคตะวันออกเฉียงเหนือ</t>
  </si>
  <si>
    <t>นครศรีธรรมราช</t>
  </si>
  <si>
    <t>สาขาทุ่งสง</t>
  </si>
  <si>
    <t>สาขาสิชล</t>
  </si>
  <si>
    <t>กระบี่</t>
  </si>
  <si>
    <t>สาขาคลองท่อม</t>
  </si>
  <si>
    <t>พังงา</t>
  </si>
  <si>
    <t>ภูเก็ต</t>
  </si>
  <si>
    <t>สาขากะทู้</t>
  </si>
  <si>
    <t>สุราษฏร์ธานี</t>
  </si>
  <si>
    <t>สาขาเกาะสมุย</t>
  </si>
  <si>
    <t>ระนอง</t>
  </si>
  <si>
    <t>ชุมพร</t>
  </si>
  <si>
    <t>สงขลา</t>
  </si>
  <si>
    <t>สาขาหาดใหญ่</t>
  </si>
  <si>
    <t>สาขาสะเดา</t>
  </si>
  <si>
    <t>สตูล</t>
  </si>
  <si>
    <t>ตรัง</t>
  </si>
  <si>
    <t>สาขาห้วยยอด</t>
  </si>
  <si>
    <t>พัทลุง</t>
  </si>
  <si>
    <t>ปัตตานี</t>
  </si>
  <si>
    <t>ยะลา</t>
  </si>
  <si>
    <t>นราธิวาส</t>
  </si>
  <si>
    <t>รวมภาคใต้</t>
  </si>
  <si>
    <t>รวมทั่วประเทศ</t>
  </si>
  <si>
    <t xml:space="preserve">หมายเหตุ  :   </t>
  </si>
  <si>
    <t xml:space="preserve">    1. จำนวนนายจ้าง จำนวนลูกจ้าง ณ 31 ธันวาคม 2568</t>
  </si>
  <si>
    <t xml:space="preserve">    2. จำนวนการประสบอันตรายอาจเปลี่ยนแปลงตามข้อเท็จจริงที่เกิดขึ้นภายหลังจากการวินิจฉัยเดิมของทุกครั้ง</t>
  </si>
  <si>
    <t xml:space="preserve">        ที่ประมวลผล  (ประมวลผล ณ 7 มกราคม 2569)</t>
  </si>
  <si>
    <t xml:space="preserve">ตารางที่ 23  จำนวนวินิจฉัยการประสบอันตรายหรือเจ็บป่วยเนื่องจากการทำงาน </t>
  </si>
  <si>
    <t>จำแนกตามหมวดประเภทกิจการ ปี 2568  (มกราคม - ธันวาคม)</t>
  </si>
  <si>
    <t xml:space="preserve">
หมวด
</t>
  </si>
  <si>
    <t>ประเภทกิจการ</t>
  </si>
  <si>
    <t>จำนวนการประสบอันตราย</t>
  </si>
  <si>
    <t xml:space="preserve">เกิน </t>
  </si>
  <si>
    <t xml:space="preserve">
3 วัน</t>
  </si>
  <si>
    <t xml:space="preserve">
 3 วัน</t>
  </si>
  <si>
    <t>A</t>
  </si>
  <si>
    <t>เกษตรกรรม การป่าไม้ และการประมง</t>
  </si>
  <si>
    <t>B</t>
  </si>
  <si>
    <t>การทำเหมืองแร่ และเหมืองหิน</t>
  </si>
  <si>
    <t>C</t>
  </si>
  <si>
    <t>การผลิต</t>
  </si>
  <si>
    <t>D</t>
  </si>
  <si>
    <t>ไฟฟ้า ก๊าซ ไอน้ำและระบบการปรับอากาศ</t>
  </si>
  <si>
    <t>E</t>
  </si>
  <si>
    <t>การจัดหาน้ำ การจัดการน้ำเสียและของเสียรวมถึงกิจกรรมที่เกี่ยวข้อง</t>
  </si>
  <si>
    <t>F</t>
  </si>
  <si>
    <t>การก่อสร้าง</t>
  </si>
  <si>
    <t>G</t>
  </si>
  <si>
    <t>การขายส่งและการขายปลีก การซ่อมยานยนต์ และจักรยานยนต์</t>
  </si>
  <si>
    <t>H</t>
  </si>
  <si>
    <t>การขนส่งและสถานที่เก็บสินค้า</t>
  </si>
  <si>
    <t>I</t>
  </si>
  <si>
    <t>ที่พักแรมและบริการด้านอาหาร</t>
  </si>
  <si>
    <t>J</t>
  </si>
  <si>
    <t>ข้อมูลข่าวสารและการสื่อสาร</t>
  </si>
  <si>
    <t>K</t>
  </si>
  <si>
    <t>กิจกรรมทางการเงินและการประกันภัย</t>
  </si>
  <si>
    <t>L</t>
  </si>
  <si>
    <t>กิจกรรมเกี่ยวกับอสังหาริมทรัพย์</t>
  </si>
  <si>
    <t>M</t>
  </si>
  <si>
    <t>กิจกรรมวิชาชีพ วิทยาศาสตร์และกิจกรรมทางวิชาการ</t>
  </si>
  <si>
    <t>N</t>
  </si>
  <si>
    <t>กิจกรรมการบริหารและบริการสนับสนุน</t>
  </si>
  <si>
    <t>O</t>
  </si>
  <si>
    <t>การบริหารราชการ การป้องกันประเทศและการประกันสังคมภาคบังคับ</t>
  </si>
  <si>
    <t>P</t>
  </si>
  <si>
    <t>การศึกษา</t>
  </si>
  <si>
    <t>Q</t>
  </si>
  <si>
    <t>กิจกรรมด้านสุขภาพและงานสังคมสงเคราะห์</t>
  </si>
  <si>
    <t>R</t>
  </si>
  <si>
    <t>ศิลปะ ความบันเทิงและนันทนาการ</t>
  </si>
  <si>
    <t>S</t>
  </si>
  <si>
    <t>กิจกรรมการบริการด้านอื่นๆ</t>
  </si>
  <si>
    <t>T</t>
  </si>
  <si>
    <t>กิจกรรมการจ้างงานในครัวเรือน กิจกรรมการผลิตสินค้า และบริการที่ทำชึ้นเองเพื่อใช้ในครัวเรือน ซึ่งไม่สามารถจำแนกกิจกรรมได้อย่างชัดเจน</t>
  </si>
  <si>
    <t>U</t>
  </si>
  <si>
    <t>กิจกรรมขององค์การระหว่างประเทศและภาคีสมาชิก</t>
  </si>
  <si>
    <t>หมายเหตุ  :   1. ประมวลผล ณ 7 มกราคม 2569</t>
  </si>
  <si>
    <r>
      <rPr>
        <sz val="13"/>
        <color indexed="9"/>
        <rFont val="TH SarabunPSK"/>
        <family val="2"/>
      </rPr>
      <t xml:space="preserve">หมายเหตุ  :   </t>
    </r>
    <r>
      <rPr>
        <sz val="13"/>
        <rFont val="TH SarabunPSK"/>
        <family val="2"/>
      </rPr>
      <t>2. ข้อมูลอาจเปลี่ยนแปลงตามข้อเท็จจริงที่เกิดขึ้นภายหลังจากการวินิจฉัยเดิมของทุกครั้งที่ประมวลผล</t>
    </r>
  </si>
  <si>
    <t>ตารางที่ 25  จำนวนการประสบอันตรายหรือเจ็บป่วยเนื่องจากการทำงาน</t>
  </si>
  <si>
    <t xml:space="preserve">จำแนกตามความรุนแรงและสาเหตุที่ประสบอันตราย </t>
  </si>
  <si>
    <t>ระหว่างวันที่ 1 มกราคม 2568 ถึงวันที่ 31 ธันวาคม 2568</t>
  </si>
  <si>
    <t>สาเหตุที่ประสบอันตราย</t>
  </si>
  <si>
    <t xml:space="preserve">ไม่เกิน </t>
  </si>
  <si>
    <t xml:space="preserve"> 3  วัน</t>
  </si>
  <si>
    <t xml:space="preserve">  1.  ตกจากที่สูง</t>
  </si>
  <si>
    <t xml:space="preserve">  2.  หกล้ม ลื่นล้ม</t>
  </si>
  <si>
    <t xml:space="preserve">  3.  อาคารหรือสิ่งก่อสร้างพังทับ</t>
  </si>
  <si>
    <t xml:space="preserve">  4.  วัตถุหรือสิ่งของพังทลาย/หล่นทับ</t>
  </si>
  <si>
    <t xml:space="preserve">  5.  วัตถุหรือสิ่งของกระแทก/ชน</t>
  </si>
  <si>
    <t xml:space="preserve">  6.  วัตถุหรือสิ่งของหนีบ/ดึง</t>
  </si>
  <si>
    <t xml:space="preserve">  7.  วัตถุหรือสิ่งของตัด/บาด/ทิ่มแทง</t>
  </si>
  <si>
    <t xml:space="preserve">  8.  วัตถุหรือสิ่งของหรือสารเคมีกระเด็นเข้าตา</t>
  </si>
  <si>
    <t xml:space="preserve">  9.  ประสบอันตรายจากการยกหรือ      </t>
  </si>
  <si>
    <t xml:space="preserve">       เคลื่อนย้ายของหนัก</t>
  </si>
  <si>
    <t>10.  ประสบอันตรายจากท่าทางการทำงาน</t>
  </si>
  <si>
    <t>11.  อุบัติเหตุจากยานพาหนะ</t>
  </si>
  <si>
    <t>12.  วัตถุหรือสิ่งของระเบิด</t>
  </si>
  <si>
    <t>13.  ไฟฟ้าช็อต</t>
  </si>
  <si>
    <t>14.  ผลจากความร้อนสูง/สัมผัสของร้อน</t>
  </si>
  <si>
    <t>15.  ผลจากความเย็นจัด/สัมผัสของเย็น</t>
  </si>
  <si>
    <t>16.  สัมผัสสิ่งมีพิษ สารเคมี</t>
  </si>
  <si>
    <t>17.  อันตรายจากรังสี</t>
  </si>
  <si>
    <t>18.  อันตรายจากแสง</t>
  </si>
  <si>
    <t>19.  ถูกทำร้ายร่างกาย</t>
  </si>
  <si>
    <t>20.  ถูกสัตว์ทำร้าย</t>
  </si>
  <si>
    <t>21.  โรคที่เกิดขึ้นตามลักษณะหรือสภาพ</t>
  </si>
  <si>
    <t xml:space="preserve">       ของงานหรือเนื่องจากการทำงาน </t>
  </si>
  <si>
    <t>22.  ภัยพิบัติ</t>
  </si>
  <si>
    <t>23.  การก่อวินาศกรรม</t>
  </si>
  <si>
    <t xml:space="preserve">24.  อื่น ๆ  </t>
  </si>
  <si>
    <t>รวมทั้งหมด</t>
  </si>
  <si>
    <t>หมายเหตุ :  ประมวลผล ณ  7 มกราคม 2569</t>
  </si>
  <si>
    <t>ตารางที่ 26  จำนวนการประสบอันตรายหรือเจ็บป่วยเนื่องจากการทำงาน</t>
  </si>
  <si>
    <t>จำแนกตามความรุนแรงและโรคที่เกิดขึ้นตามลักษณะหรือสภาพของงาน</t>
  </si>
  <si>
    <t>โรคที่เกิดขึ้นตามลักษณะหรือสภาพของงาน</t>
  </si>
  <si>
    <t>สูญเสียอวัยวะบางส่วน</t>
  </si>
  <si>
    <t>1.</t>
  </si>
  <si>
    <t>โรคที่เกิดขึ้นจากสารเคมี</t>
  </si>
  <si>
    <t xml:space="preserve"> - โรคที่เกิดขึ้นจากตะกั่ว หรือสารประกอบของตะกั่ว</t>
  </si>
  <si>
    <t xml:space="preserve"> - โรคที่เกิดขึ้นจากคาร์บอนมอนนอกไซด์ ไฮโดรเจน ไซยาไนด์ หรือสารประกอบของไฮโดรเจน ไซยาไนด์ ไฮโดรเจนซัลไฟด์</t>
  </si>
  <si>
    <t>2.</t>
  </si>
  <si>
    <t>โรคที่เกิดขึ้นจากสาเหตุทางกายภาพ</t>
  </si>
  <si>
    <t xml:space="preserve"> - โรคหูตึงจากเสียง</t>
  </si>
  <si>
    <t xml:space="preserve"> - โรคจากแสงอัลตราไวโอเลต</t>
  </si>
  <si>
    <t>3.</t>
  </si>
  <si>
    <t>โรคที่เกิดขึ้นจากสาเหตุทางชีวภาพ</t>
  </si>
  <si>
    <t xml:space="preserve"> - โรคที่เกิดขึ้นจากสาเหตุทางชีวภาพ</t>
  </si>
  <si>
    <t>4.</t>
  </si>
  <si>
    <t>โรคระบบหายใจที่เกิดขึ้นเนื่องจากการทำงาน</t>
  </si>
  <si>
    <t xml:space="preserve"> - โรคกลุ่มนิวโมโคนิโอสิสส</t>
  </si>
  <si>
    <t xml:space="preserve"> - โรคระบบหายใจอื่น ซึ่งพิสูจน์ได้ว่ามีสาเหตุเนื่องจากการทำงาน</t>
  </si>
  <si>
    <t>5.</t>
  </si>
  <si>
    <t>โรคผิวหนังที่เกิดขึ้นเนื่องจากการทำงาน</t>
  </si>
  <si>
    <t xml:space="preserve"> - โรคผิวหนังที่เกิดจากสาเหตุทางกายภาพ เคมี หรือชีวภาพอื่น ซึ่งพิสูจน์ได้ว่ามีสาเหตุเนื่องจากการทำงาน</t>
  </si>
  <si>
    <t xml:space="preserve"> - โรคผิวหนังอื่น ซึ่งพิสูน์ได้ว่ามีสาเหตุเนื่องจากการทำงาน</t>
  </si>
  <si>
    <t>6.</t>
  </si>
  <si>
    <t>โรคระบบกล้ามเนื้อและโครงสร้างกระดูกที่เกิดขึ้นจากการทำงาน</t>
  </si>
  <si>
    <t xml:space="preserve"> - โรคระบบกล้ามเนื้อและโครงสร้างกระดูกที่เกิดขึ้นเนื่องจากการทำงานหรือสาเหตุจากลักษณะงานที่จำเพาะหรือมีปัจจัยเสี่ยงสูงในสิ่งแวดล้อมการทำงาน</t>
  </si>
  <si>
    <t>7.</t>
  </si>
  <si>
    <t>โรคอื่น ๆ</t>
  </si>
  <si>
    <t xml:space="preserve"> - โรคอื่น ๆ ซึ่งพิสูจน์ได้ว่าเกิดขึ้นตามลักษณะหรือสภาพของงานหรือเนื่องจากการทำงาน</t>
  </si>
  <si>
    <t>ที่มา :  สำนักงานกองทุนเงินทดแทน</t>
  </si>
  <si>
    <t>ตารางที่  27  จำนวนการประสบอันตรายหรือเจ็บป่วยเนื่องจากการทำงาน</t>
  </si>
  <si>
    <t>จำแนกตามความรุนแรงและสิ่งที่ทำให้ประสบอันตราย</t>
  </si>
  <si>
    <t>สิ่งที่ทำให้ประสบอันตราย</t>
  </si>
  <si>
    <t>1.  เครื่องมือ</t>
  </si>
  <si>
    <t>2.  เครื่องจักร</t>
  </si>
  <si>
    <t>3.  อาคารหรือสิ่งก่อสร้าง</t>
  </si>
  <si>
    <t>4.  วัตถุหรือสิ่งของ</t>
  </si>
  <si>
    <t>5.  ท่าทางการทำงาน และการยกของ</t>
  </si>
  <si>
    <t>6.  ยานพาหนะ</t>
  </si>
  <si>
    <t>7.  วัตถุระเบิด (ยกเว้นก๊าซ)</t>
  </si>
  <si>
    <t>8.  ก๊าซ</t>
  </si>
  <si>
    <t>9.  หม้อไอน้ำและถังความดัน</t>
  </si>
  <si>
    <t>10. ไฟฟ้าและอุปกรณ์ไฟฟ้า</t>
  </si>
  <si>
    <t>11. สิ่งมีพิษ สารเคมี</t>
  </si>
  <si>
    <t>12. สภาพแวดล้อมเกี่ยวกับการทำงาน</t>
  </si>
  <si>
    <t>13. ภัยธรรมชาติ</t>
  </si>
  <si>
    <t>14. เชื้อโรค</t>
  </si>
  <si>
    <t>15. คนหรือสัตว์</t>
  </si>
  <si>
    <t>16. อื่น ๆ</t>
  </si>
  <si>
    <t>หมายเหตุ :  ประมวลผล ณ 7 มกราคม 2569</t>
  </si>
  <si>
    <t>ตารางที่  28  จำนวนการประสบอันตรายหรือเจ็บป่วยเนื่องจากการทำงาน</t>
  </si>
  <si>
    <t xml:space="preserve">จำแนกตามความรุนแรงและอวัยวะที่ประสบอันตราย </t>
  </si>
  <si>
    <t>อวัยวะที่ประสบอันตราย</t>
  </si>
  <si>
    <t>1.  ศีรษะ</t>
  </si>
  <si>
    <t>2.  ตา</t>
  </si>
  <si>
    <t>3.  จมูก</t>
  </si>
  <si>
    <t>4.  หู</t>
  </si>
  <si>
    <t>5.  ปาก ฟัน ขากรรไกร และส่วนต่างๆในช่องปาก</t>
  </si>
  <si>
    <t xml:space="preserve">6.  ใบหน้า </t>
  </si>
  <si>
    <t>7.  คอ</t>
  </si>
  <si>
    <t>8.  หลัง</t>
  </si>
  <si>
    <t>9.  กระดูกซี่โครง / กระดูกชายโครง / ลำตัว</t>
  </si>
  <si>
    <t>10.  อกและอวัยวะภายในช่องอก</t>
  </si>
  <si>
    <t>11.  กระดูกเชิงกราน ท้องและอวัยวะในช่องท้อง</t>
  </si>
  <si>
    <t>12.  อวัยวะเพศ</t>
  </si>
  <si>
    <t>13.  บ่า / ไหล่ / สะบัก / รักแร้</t>
  </si>
  <si>
    <t>14.  แขน / ศอก / ข้อศอก</t>
  </si>
  <si>
    <t>15.  ข้อมือ</t>
  </si>
  <si>
    <t>16.  มือ</t>
  </si>
  <si>
    <t>17.  นิ้วหัวแม่มือ</t>
  </si>
  <si>
    <t>18.  นิ้วมือ</t>
  </si>
  <si>
    <t>19.  เอว</t>
  </si>
  <si>
    <t>20.  สะโพก ก้น</t>
  </si>
  <si>
    <t>21.  ขา / หน้าแข้ง / น่อง / เข่า / หัวเข่า</t>
  </si>
  <si>
    <t>22.  ข้อเท้า / ตาตุ่ม</t>
  </si>
  <si>
    <t>23.  เท้า / ส้นเท้า / ง่ามนิ้วเท้า</t>
  </si>
  <si>
    <t>24.  นิ้วเท้า</t>
  </si>
  <si>
    <t>25.  บาดเจ็บหลายส่วน  บาดเจ็บตามร่างกาย</t>
  </si>
  <si>
    <t>26.  ระบบหมุนเวียนโลหิต</t>
  </si>
  <si>
    <t>27.  อื่น ๆ (ไม่สามารถระบุอวัยวะได้)</t>
  </si>
  <si>
    <t>ตารางที่  29  จำนวนการประสบอันตรายหรือเจ็บป่วยเนื่องจากการทำงาน</t>
  </si>
  <si>
    <t xml:space="preserve">จำแนกตามความรุนแรงและผลของการประสบอันตราย </t>
  </si>
  <si>
    <t>ผลของการประสบอันตราย</t>
  </si>
  <si>
    <t>1. กระดูกหัก  กระดูกแตก  กระดูกร้าว</t>
  </si>
  <si>
    <t>2. ข้อต่อเคลื่อน</t>
  </si>
  <si>
    <t>3. ข้อต่อเคล็ด และการอักเสบตึงตัวของกล้ามเนื้อ</t>
  </si>
  <si>
    <t xml:space="preserve">4. การถูกกระแทกและการบาดเจ็บภายในอื่น ๆ  </t>
  </si>
  <si>
    <t xml:space="preserve"> ที่ไม่ปรากฏ</t>
  </si>
  <si>
    <t>5. การตัดขาด และการเลาะคว้านทำลายอวัยวะ</t>
  </si>
  <si>
    <t>6. บาดแผลอื่น ๆ (บาดแผลลึก)</t>
  </si>
  <si>
    <t>7. บาดแผลตื้น</t>
  </si>
  <si>
    <t>8. การฟกช้ำ และการถูกชน การถูกเบียด</t>
  </si>
  <si>
    <t>9. บาดแผลไหม้</t>
  </si>
  <si>
    <t>10. การได้รับสารพิษ  สารเคมี</t>
  </si>
  <si>
    <t>11. ผลจากสภาพอากาศ การสัมผัส  และสถานะ</t>
  </si>
  <si>
    <t xml:space="preserve">  ที่เกี่ยวข้อง</t>
  </si>
  <si>
    <t xml:space="preserve">12. การหายใจไม่ออกเนื่องจากโลหิตขาด    </t>
  </si>
  <si>
    <t xml:space="preserve">     ออกซิเจน</t>
  </si>
  <si>
    <t>13. ผลจากกระแสไฟฟ้า</t>
  </si>
  <si>
    <t>14. ผลกระทบจากรังสีหรือแสง</t>
  </si>
  <si>
    <t>15. สภาพการบาดเจ็บหลายอย่างร่วมกัน</t>
  </si>
  <si>
    <t>16. สภาพการบาดเจ็บอื่น ๆ ที่ไม่สามารถ</t>
  </si>
  <si>
    <t xml:space="preserve">     จำแนกได้</t>
  </si>
  <si>
    <t>ตารางที่  30  จำนวนการประสบอันตรายหรือเจ็บป่วยเนื่องจากการทำงาน</t>
  </si>
  <si>
    <t>จำแนกตามความรุนแรงและกลุ่มอายุ</t>
  </si>
  <si>
    <t>กลุ่มอายุ</t>
  </si>
  <si>
    <t>น้อยกว่า 15</t>
  </si>
  <si>
    <t>15 -17</t>
  </si>
  <si>
    <t>18 - 19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</si>
  <si>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</si>
  <si>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</si>
  <si>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</si>
  <si>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</si>
  <si>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</si>
  <si>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</si>
  <si>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</si>
  <si>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</si>
  <si>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ขึ้นไป</t>
  </si>
  <si>
    <t>ตารางที่  31  จำนวนการประสบอันตรายหรือเจ็บป่วยเนื่องจากการทำงาน</t>
  </si>
  <si>
    <t>จำแนกตามความรุนแรงและขนาดสถานประกอบการ</t>
  </si>
  <si>
    <t>ขนาดสถานประกอบการ
(จำนวนลูกจ้าง)</t>
  </si>
  <si>
    <t xml:space="preserve"> 1 - 10</t>
  </si>
  <si>
    <t xml:space="preserve"> 11 - 20 </t>
  </si>
  <si>
    <t xml:space="preserve"> 21 - 50</t>
  </si>
  <si>
    <t xml:space="preserve"> 51 - 100</t>
  </si>
  <si>
    <t xml:space="preserve"> 101 - 200</t>
  </si>
  <si>
    <t>201 - 500</t>
  </si>
  <si>
    <t>501 - 1,000</t>
  </si>
  <si>
    <t>1,001 ขึ้นไป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</si>
</sst>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3" x14ac:knownFonts="1">
    <font>
      <sz val="10"/>
      <name val="Arial"/>
      <charset val="222"/>
    </font>
    <font>
      <sz val="10"/>
      <color indexed="8"/>
      <name val="Tahoma"/>
      <family val="2"/>
    </font>
    <font>
      <b/>
      <sz val="15"/>
      <name val="TH SarabunPSK"/>
      <family val="2"/>
    </font>
    <font>
      <sz val="10"/>
      <name val="Arial"/>
      <charset val="222"/>
    </font>
    <font>
      <sz val="15"/>
      <name val="TH SarabunPSK"/>
      <family val="2"/>
    </font>
    <font>
      <sz val="14"/>
      <name val="Cordia New"/>
      <family val="2"/>
    </font>
    <font>
      <sz val="13"/>
      <name val="TH SarabunPSK"/>
      <family val="2"/>
    </font>
    <font>
      <sz val="10"/>
      <name val="Arial"/>
      <family val="2"/>
    </font>
    <font>
      <b/>
      <sz val="15"/>
      <color indexed="8"/>
      <name val="TH SarabunPSK"/>
      <family val="2"/>
    </font>
    <font>
      <sz val="16"/>
      <name val="TH SarabunPSK"/>
      <family val="2"/>
    </font>
    <font>
      <sz val="14"/>
      <name val="TH SarabunPSK"/>
      <family val="2"/>
    </font>
    <font>
      <sz val="13"/>
      <color indexed="9"/>
      <name val="TH SarabunPSK"/>
      <family val="2"/>
    </font>
    <font>
      <b/>
      <sz val="16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1" fillId="0" borderId="0"/>
    <xf numFmtId="0" fontId="5" fillId="0" borderId="0"/>
    <xf numFmtId="0" fontId="7" fillId="0" borderId="0"/>
  </cellStyleXfs>
  <cellXfs count="212">
    <xf numFmtId="0" fontId="0" fillId="0" borderId="0" xfId="0"/>
    <xf numFmtId="0" fontId="2" fillId="0" borderId="0" xfId="2" applyFont="1" applyAlignment="1">
      <alignment horizontal="left"/>
    </xf>
    <xf numFmtId="0" fontId="4" fillId="0" borderId="0" xfId="0" applyFont="1" applyAlignment="1"/>
    <xf numFmtId="0" fontId="2" fillId="0" borderId="1" xfId="2" applyFont="1" applyBorder="1" applyAlignment="1">
      <alignment horizontal="center" vertical="top"/>
    </xf>
    <xf numFmtId="0" fontId="2" fillId="2" borderId="2" xfId="3" applyFont="1" applyFill="1" applyBorder="1" applyAlignment="1">
      <alignment horizontal="center" vertical="center"/>
    </xf>
    <xf numFmtId="0" fontId="2" fillId="2" borderId="3" xfId="3" applyFont="1" applyFill="1" applyBorder="1" applyAlignment="1">
      <alignment horizontal="center"/>
    </xf>
    <xf numFmtId="0" fontId="2" fillId="2" borderId="2" xfId="3" applyFont="1" applyFill="1" applyBorder="1" applyAlignment="1">
      <alignment horizontal="left"/>
    </xf>
    <xf numFmtId="0" fontId="2" fillId="2" borderId="4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/>
    </xf>
    <xf numFmtId="0" fontId="2" fillId="2" borderId="4" xfId="3" applyFont="1" applyFill="1" applyBorder="1" applyAlignment="1">
      <alignment horizontal="center"/>
    </xf>
    <xf numFmtId="0" fontId="2" fillId="2" borderId="5" xfId="3" applyFont="1" applyFill="1" applyBorder="1" applyAlignment="1">
      <alignment horizontal="center" vertical="center"/>
    </xf>
    <xf numFmtId="0" fontId="2" fillId="2" borderId="5" xfId="3" applyFont="1" applyFill="1" applyBorder="1" applyAlignment="1">
      <alignment horizontal="center"/>
    </xf>
    <xf numFmtId="0" fontId="2" fillId="0" borderId="6" xfId="3" applyFont="1" applyBorder="1" applyAlignment="1">
      <alignment horizontal="center" vertical="center"/>
    </xf>
    <xf numFmtId="3" fontId="2" fillId="0" borderId="6" xfId="3" applyNumberFormat="1" applyFont="1" applyBorder="1" applyAlignment="1">
      <alignment horizontal="center"/>
    </xf>
    <xf numFmtId="3" fontId="2" fillId="0" borderId="2" xfId="3" applyNumberFormat="1" applyFont="1" applyBorder="1" applyAlignment="1">
      <alignment horizontal="center"/>
    </xf>
    <xf numFmtId="0" fontId="2" fillId="0" borderId="7" xfId="3" applyFont="1" applyBorder="1" applyAlignment="1">
      <alignment horizontal="center" vertical="center"/>
    </xf>
    <xf numFmtId="3" fontId="2" fillId="0" borderId="7" xfId="3" applyNumberFormat="1" applyFont="1" applyBorder="1" applyAlignment="1">
      <alignment horizontal="center"/>
    </xf>
    <xf numFmtId="3" fontId="2" fillId="0" borderId="8" xfId="3" applyNumberFormat="1" applyFont="1" applyBorder="1" applyAlignment="1">
      <alignment horizontal="center"/>
    </xf>
    <xf numFmtId="4" fontId="4" fillId="0" borderId="0" xfId="0" applyNumberFormat="1" applyFont="1" applyAlignment="1"/>
    <xf numFmtId="0" fontId="2" fillId="0" borderId="8" xfId="3" applyFont="1" applyBorder="1" applyAlignment="1">
      <alignment horizontal="center" vertical="center"/>
    </xf>
    <xf numFmtId="0" fontId="2" fillId="0" borderId="9" xfId="3" applyFont="1" applyBorder="1" applyAlignment="1">
      <alignment horizontal="center"/>
    </xf>
    <xf numFmtId="3" fontId="2" fillId="0" borderId="9" xfId="3" applyNumberFormat="1" applyFont="1" applyBorder="1" applyAlignment="1">
      <alignment horizontal="center"/>
    </xf>
    <xf numFmtId="0" fontId="2" fillId="0" borderId="8" xfId="3" applyFont="1" applyBorder="1" applyAlignment="1">
      <alignment horizontal="center"/>
    </xf>
    <xf numFmtId="0" fontId="2" fillId="0" borderId="5" xfId="3" applyFont="1" applyBorder="1" applyAlignment="1">
      <alignment horizontal="center"/>
    </xf>
    <xf numFmtId="3" fontId="2" fillId="0" borderId="5" xfId="3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4" fillId="0" borderId="6" xfId="3" applyNumberFormat="1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3" fontId="4" fillId="0" borderId="9" xfId="3" applyNumberFormat="1" applyFont="1" applyBorder="1" applyAlignment="1">
      <alignment horizontal="center"/>
    </xf>
    <xf numFmtId="3" fontId="4" fillId="0" borderId="9" xfId="0" applyNumberFormat="1" applyFont="1" applyBorder="1" applyAlignment="1">
      <alignment horizontal="center"/>
    </xf>
    <xf numFmtId="0" fontId="4" fillId="0" borderId="8" xfId="0" applyFont="1" applyBorder="1" applyAlignment="1">
      <alignment horizontal="left"/>
    </xf>
    <xf numFmtId="3" fontId="4" fillId="0" borderId="8" xfId="3" applyNumberFormat="1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3" fontId="4" fillId="0" borderId="7" xfId="3" applyNumberFormat="1" applyFont="1" applyBorder="1" applyAlignment="1">
      <alignment horizontal="center"/>
    </xf>
    <xf numFmtId="3" fontId="4" fillId="0" borderId="0" xfId="0" applyNumberFormat="1" applyFont="1" applyAlignment="1"/>
    <xf numFmtId="0" fontId="4" fillId="0" borderId="10" xfId="0" applyFont="1" applyBorder="1" applyAlignment="1">
      <alignment horizontal="left"/>
    </xf>
    <xf numFmtId="3" fontId="4" fillId="0" borderId="10" xfId="3" applyNumberFormat="1" applyFont="1" applyBorder="1" applyAlignment="1">
      <alignment horizontal="center"/>
    </xf>
    <xf numFmtId="0" fontId="2" fillId="0" borderId="3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0" xfId="0" applyFont="1" applyAlignment="1"/>
    <xf numFmtId="0" fontId="6" fillId="0" borderId="11" xfId="0" applyFont="1" applyBorder="1" applyAlignment="1">
      <alignment horizontal="right"/>
    </xf>
    <xf numFmtId="4" fontId="6" fillId="0" borderId="0" xfId="0" applyNumberFormat="1" applyFont="1"/>
    <xf numFmtId="38" fontId="6" fillId="0" borderId="0" xfId="1" applyNumberFormat="1" applyFont="1" applyFill="1" applyBorder="1" applyAlignment="1">
      <alignment horizontal="left" vertical="top"/>
    </xf>
    <xf numFmtId="0" fontId="6" fillId="0" borderId="0" xfId="0" applyFont="1" applyAlignment="1">
      <alignment vertical="top"/>
    </xf>
    <xf numFmtId="17" fontId="4" fillId="0" borderId="0" xfId="0" applyNumberFormat="1" applyFont="1" applyAlignment="1"/>
    <xf numFmtId="0" fontId="2" fillId="0" borderId="0" xfId="0" applyFont="1" applyAlignment="1">
      <alignment horizontal="center"/>
    </xf>
    <xf numFmtId="0" fontId="4" fillId="0" borderId="0" xfId="0" applyFont="1"/>
    <xf numFmtId="0" fontId="2" fillId="0" borderId="1" xfId="0" applyFont="1" applyBorder="1" applyAlignment="1">
      <alignment horizontal="center" vertical="top"/>
    </xf>
    <xf numFmtId="0" fontId="4" fillId="0" borderId="0" xfId="0" applyFont="1" applyAlignment="1">
      <alignment vertical="top"/>
    </xf>
    <xf numFmtId="0" fontId="2" fillId="2" borderId="2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2" fillId="2" borderId="4" xfId="0" applyNumberFormat="1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 wrapText="1"/>
    </xf>
    <xf numFmtId="0" fontId="2" fillId="2" borderId="4" xfId="3" applyFont="1" applyFill="1" applyBorder="1" applyAlignment="1">
      <alignment horizontal="center" vertical="center" wrapText="1"/>
    </xf>
    <xf numFmtId="0" fontId="2" fillId="2" borderId="5" xfId="0" applyNumberFormat="1" applyFont="1" applyFill="1" applyBorder="1" applyAlignment="1">
      <alignment horizontal="center" vertical="center"/>
    </xf>
    <xf numFmtId="0" fontId="2" fillId="2" borderId="5" xfId="3" applyFont="1" applyFill="1" applyBorder="1" applyAlignment="1">
      <alignment horizontal="center" wrapText="1"/>
    </xf>
    <xf numFmtId="0" fontId="4" fillId="0" borderId="6" xfId="0" applyFont="1" applyFill="1" applyBorder="1" applyAlignment="1">
      <alignment vertical="center"/>
    </xf>
    <xf numFmtId="3" fontId="4" fillId="0" borderId="6" xfId="0" applyNumberFormat="1" applyFont="1" applyFill="1" applyBorder="1" applyAlignment="1">
      <alignment vertical="center"/>
    </xf>
    <xf numFmtId="3" fontId="4" fillId="0" borderId="6" xfId="0" applyNumberFormat="1" applyFont="1" applyBorder="1" applyAlignment="1">
      <alignment horizontal="center"/>
    </xf>
    <xf numFmtId="0" fontId="4" fillId="0" borderId="8" xfId="0" applyFont="1" applyFill="1" applyBorder="1" applyAlignment="1">
      <alignment vertical="center"/>
    </xf>
    <xf numFmtId="3" fontId="4" fillId="0" borderId="8" xfId="0" applyNumberFormat="1" applyFont="1" applyFill="1" applyBorder="1" applyAlignment="1">
      <alignment vertical="center"/>
    </xf>
    <xf numFmtId="3" fontId="4" fillId="0" borderId="8" xfId="0" applyNumberFormat="1" applyFont="1" applyBorder="1" applyAlignment="1">
      <alignment horizontal="center"/>
    </xf>
    <xf numFmtId="3" fontId="4" fillId="0" borderId="9" xfId="0" applyNumberFormat="1" applyFont="1" applyFill="1" applyBorder="1" applyAlignment="1">
      <alignment vertical="center"/>
    </xf>
    <xf numFmtId="0" fontId="4" fillId="0" borderId="9" xfId="0" applyFont="1" applyFill="1" applyBorder="1" applyAlignment="1">
      <alignment vertical="center"/>
    </xf>
    <xf numFmtId="3" fontId="4" fillId="0" borderId="10" xfId="0" applyNumberFormat="1" applyFont="1" applyBorder="1" applyAlignment="1">
      <alignment horizontal="center"/>
    </xf>
    <xf numFmtId="0" fontId="2" fillId="0" borderId="3" xfId="0" applyFont="1" applyFill="1" applyBorder="1" applyAlignment="1">
      <alignment vertical="center"/>
    </xf>
    <xf numFmtId="3" fontId="2" fillId="0" borderId="3" xfId="0" applyNumberFormat="1" applyFont="1" applyBorder="1" applyAlignment="1">
      <alignment horizontal="right"/>
    </xf>
    <xf numFmtId="0" fontId="4" fillId="0" borderId="7" xfId="0" applyFont="1" applyFill="1" applyBorder="1"/>
    <xf numFmtId="3" fontId="4" fillId="0" borderId="7" xfId="0" applyNumberFormat="1" applyFont="1" applyFill="1" applyBorder="1"/>
    <xf numFmtId="3" fontId="4" fillId="0" borderId="7" xfId="0" applyNumberFormat="1" applyFont="1" applyBorder="1" applyAlignment="1">
      <alignment horizontal="center"/>
    </xf>
    <xf numFmtId="3" fontId="4" fillId="0" borderId="0" xfId="0" applyNumberFormat="1" applyFont="1"/>
    <xf numFmtId="0" fontId="4" fillId="0" borderId="8" xfId="0" applyFont="1" applyFill="1" applyBorder="1"/>
    <xf numFmtId="3" fontId="4" fillId="0" borderId="8" xfId="0" applyNumberFormat="1" applyFont="1" applyFill="1" applyBorder="1"/>
    <xf numFmtId="3" fontId="4" fillId="0" borderId="8" xfId="0" applyNumberFormat="1" applyFont="1" applyFill="1" applyBorder="1" applyAlignment="1">
      <alignment horizontal="center"/>
    </xf>
    <xf numFmtId="3" fontId="4" fillId="0" borderId="7" xfId="0" applyNumberFormat="1" applyFont="1" applyFill="1" applyBorder="1" applyAlignment="1">
      <alignment horizontal="center"/>
    </xf>
    <xf numFmtId="0" fontId="4" fillId="0" borderId="0" xfId="0" applyFont="1" applyFill="1"/>
    <xf numFmtId="0" fontId="4" fillId="0" borderId="9" xfId="0" applyFont="1" applyFill="1" applyBorder="1"/>
    <xf numFmtId="3" fontId="4" fillId="0" borderId="9" xfId="0" applyNumberFormat="1" applyFont="1" applyFill="1" applyBorder="1"/>
    <xf numFmtId="3" fontId="4" fillId="0" borderId="10" xfId="0" quotePrefix="1" applyNumberFormat="1" applyFont="1" applyBorder="1" applyAlignment="1">
      <alignment horizontal="center"/>
    </xf>
    <xf numFmtId="0" fontId="2" fillId="0" borderId="3" xfId="0" applyFont="1" applyFill="1" applyBorder="1"/>
    <xf numFmtId="0" fontId="2" fillId="0" borderId="11" xfId="0" applyFont="1" applyFill="1" applyBorder="1"/>
    <xf numFmtId="3" fontId="2" fillId="0" borderId="11" xfId="0" applyNumberFormat="1" applyFont="1" applyBorder="1" applyAlignment="1">
      <alignment horizontal="center"/>
    </xf>
    <xf numFmtId="0" fontId="2" fillId="0" borderId="0" xfId="0" applyFont="1" applyFill="1" applyBorder="1"/>
    <xf numFmtId="3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0" borderId="4" xfId="0" applyFont="1" applyFill="1" applyBorder="1"/>
    <xf numFmtId="3" fontId="4" fillId="0" borderId="4" xfId="0" applyNumberFormat="1" applyFont="1" applyFill="1" applyBorder="1"/>
    <xf numFmtId="3" fontId="4" fillId="0" borderId="4" xfId="0" applyNumberFormat="1" applyFont="1" applyBorder="1" applyAlignment="1">
      <alignment horizontal="center"/>
    </xf>
    <xf numFmtId="3" fontId="4" fillId="0" borderId="0" xfId="0" applyNumberFormat="1" applyFont="1" applyFill="1"/>
    <xf numFmtId="0" fontId="4" fillId="0" borderId="0" xfId="0" applyFont="1" applyFill="1" applyBorder="1"/>
    <xf numFmtId="3" fontId="4" fillId="0" borderId="0" xfId="0" applyNumberFormat="1" applyFont="1" applyBorder="1" applyAlignment="1">
      <alignment horizontal="center"/>
    </xf>
    <xf numFmtId="3" fontId="4" fillId="0" borderId="5" xfId="0" applyNumberFormat="1" applyFont="1" applyBorder="1" applyAlignment="1">
      <alignment horizontal="center"/>
    </xf>
    <xf numFmtId="0" fontId="4" fillId="0" borderId="6" xfId="0" applyFont="1" applyFill="1" applyBorder="1"/>
    <xf numFmtId="3" fontId="4" fillId="0" borderId="6" xfId="0" applyNumberFormat="1" applyFont="1" applyFill="1" applyBorder="1"/>
    <xf numFmtId="0" fontId="4" fillId="0" borderId="10" xfId="0" applyFont="1" applyFill="1" applyBorder="1"/>
    <xf numFmtId="3" fontId="4" fillId="0" borderId="10" xfId="0" applyNumberFormat="1" applyFont="1" applyFill="1" applyBorder="1"/>
    <xf numFmtId="0" fontId="2" fillId="0" borderId="3" xfId="0" applyFont="1" applyBorder="1"/>
    <xf numFmtId="3" fontId="7" fillId="0" borderId="0" xfId="4" applyNumberFormat="1"/>
    <xf numFmtId="0" fontId="6" fillId="0" borderId="11" xfId="0" applyFont="1" applyBorder="1" applyAlignment="1"/>
    <xf numFmtId="0" fontId="6" fillId="0" borderId="0" xfId="0" applyFont="1"/>
    <xf numFmtId="0" fontId="6" fillId="0" borderId="11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0" fontId="6" fillId="0" borderId="0" xfId="0" applyFont="1" applyBorder="1" applyAlignment="1">
      <alignment horizontal="left" vertical="top"/>
    </xf>
    <xf numFmtId="0" fontId="2" fillId="0" borderId="0" xfId="4" applyFont="1" applyAlignment="1">
      <alignment horizontal="centerContinuous"/>
    </xf>
    <xf numFmtId="0" fontId="4" fillId="0" borderId="0" xfId="4" applyFont="1"/>
    <xf numFmtId="0" fontId="2" fillId="0" borderId="0" xfId="4" applyFont="1" applyBorder="1" applyAlignment="1">
      <alignment horizontal="right"/>
    </xf>
    <xf numFmtId="0" fontId="8" fillId="2" borderId="2" xfId="2" applyFont="1" applyFill="1" applyBorder="1" applyAlignment="1">
      <alignment horizontal="center" vertical="center" wrapText="1"/>
    </xf>
    <xf numFmtId="0" fontId="2" fillId="2" borderId="2" xfId="4" applyFont="1" applyFill="1" applyBorder="1" applyAlignment="1">
      <alignment horizontal="center" vertical="center"/>
    </xf>
    <xf numFmtId="0" fontId="4" fillId="0" borderId="0" xfId="4" applyFont="1" applyBorder="1"/>
    <xf numFmtId="0" fontId="8" fillId="2" borderId="4" xfId="2" applyFont="1" applyFill="1" applyBorder="1" applyAlignment="1">
      <alignment horizontal="center" vertical="center" wrapText="1"/>
    </xf>
    <xf numFmtId="0" fontId="2" fillId="2" borderId="4" xfId="4" applyFont="1" applyFill="1" applyBorder="1" applyAlignment="1">
      <alignment horizontal="center" vertical="center"/>
    </xf>
    <xf numFmtId="0" fontId="8" fillId="2" borderId="5" xfId="2" applyFont="1" applyFill="1" applyBorder="1" applyAlignment="1">
      <alignment horizontal="center" vertical="center"/>
    </xf>
    <xf numFmtId="0" fontId="2" fillId="2" borderId="5" xfId="4" applyFont="1" applyFill="1" applyBorder="1" applyAlignment="1">
      <alignment horizontal="center" vertical="center"/>
    </xf>
    <xf numFmtId="0" fontId="9" fillId="0" borderId="7" xfId="4" applyFont="1" applyBorder="1" applyAlignment="1">
      <alignment horizontal="center" vertical="top"/>
    </xf>
    <xf numFmtId="0" fontId="10" fillId="0" borderId="7" xfId="4" applyFont="1" applyBorder="1" applyAlignment="1">
      <alignment wrapText="1"/>
    </xf>
    <xf numFmtId="3" fontId="4" fillId="0" borderId="6" xfId="4" applyNumberFormat="1" applyFont="1" applyBorder="1" applyAlignment="1">
      <alignment horizontal="center"/>
    </xf>
    <xf numFmtId="3" fontId="4" fillId="0" borderId="6" xfId="4" applyNumberFormat="1" applyFont="1" applyFill="1" applyBorder="1" applyAlignment="1">
      <alignment horizontal="center"/>
    </xf>
    <xf numFmtId="0" fontId="9" fillId="0" borderId="8" xfId="4" applyFont="1" applyBorder="1" applyAlignment="1">
      <alignment horizontal="center" vertical="top"/>
    </xf>
    <xf numFmtId="0" fontId="10" fillId="0" borderId="8" xfId="4" applyFont="1" applyBorder="1" applyAlignment="1">
      <alignment wrapText="1"/>
    </xf>
    <xf numFmtId="3" fontId="4" fillId="0" borderId="7" xfId="4" applyNumberFormat="1" applyFont="1" applyBorder="1" applyAlignment="1">
      <alignment horizontal="center"/>
    </xf>
    <xf numFmtId="3" fontId="4" fillId="0" borderId="7" xfId="4" applyNumberFormat="1" applyFont="1" applyFill="1" applyBorder="1" applyAlignment="1">
      <alignment horizontal="center"/>
    </xf>
    <xf numFmtId="3" fontId="4" fillId="0" borderId="8" xfId="4" applyNumberFormat="1" applyFont="1" applyBorder="1" applyAlignment="1">
      <alignment horizontal="center"/>
    </xf>
    <xf numFmtId="0" fontId="9" fillId="0" borderId="9" xfId="4" applyFont="1" applyBorder="1" applyAlignment="1">
      <alignment horizontal="center" vertical="top"/>
    </xf>
    <xf numFmtId="0" fontId="10" fillId="0" borderId="9" xfId="4" applyFont="1" applyBorder="1" applyAlignment="1">
      <alignment wrapText="1"/>
    </xf>
    <xf numFmtId="3" fontId="4" fillId="0" borderId="7" xfId="4" applyNumberFormat="1" applyFont="1" applyBorder="1" applyAlignment="1">
      <alignment horizontal="center" vertical="top"/>
    </xf>
    <xf numFmtId="3" fontId="4" fillId="0" borderId="7" xfId="4" applyNumberFormat="1" applyFont="1" applyFill="1" applyBorder="1" applyAlignment="1">
      <alignment horizontal="center" vertical="top"/>
    </xf>
    <xf numFmtId="3" fontId="4" fillId="0" borderId="8" xfId="4" applyNumberFormat="1" applyFont="1" applyBorder="1" applyAlignment="1">
      <alignment horizontal="center" vertical="top"/>
    </xf>
    <xf numFmtId="3" fontId="4" fillId="0" borderId="8" xfId="4" applyNumberFormat="1" applyFont="1" applyFill="1" applyBorder="1" applyAlignment="1">
      <alignment horizontal="center"/>
    </xf>
    <xf numFmtId="3" fontId="4" fillId="0" borderId="8" xfId="4" applyNumberFormat="1" applyFont="1" applyFill="1" applyBorder="1" applyAlignment="1">
      <alignment horizontal="center" vertical="top"/>
    </xf>
    <xf numFmtId="0" fontId="2" fillId="0" borderId="3" xfId="4" applyFont="1" applyBorder="1" applyAlignment="1">
      <alignment horizontal="center" vertical="center"/>
    </xf>
    <xf numFmtId="3" fontId="2" fillId="0" borderId="3" xfId="4" applyNumberFormat="1" applyFont="1" applyBorder="1" applyAlignment="1">
      <alignment horizontal="center" vertical="center"/>
    </xf>
    <xf numFmtId="3" fontId="2" fillId="0" borderId="3" xfId="4" applyNumberFormat="1" applyFont="1" applyFill="1" applyBorder="1" applyAlignment="1">
      <alignment horizontal="center" vertical="center"/>
    </xf>
    <xf numFmtId="0" fontId="2" fillId="0" borderId="0" xfId="4" applyFont="1"/>
    <xf numFmtId="3" fontId="2" fillId="0" borderId="0" xfId="4" applyNumberFormat="1" applyFont="1"/>
    <xf numFmtId="0" fontId="2" fillId="0" borderId="0" xfId="4" applyFont="1" applyBorder="1" applyAlignment="1">
      <alignment horizontal="center"/>
    </xf>
    <xf numFmtId="3" fontId="2" fillId="0" borderId="0" xfId="4" applyNumberFormat="1" applyFont="1" applyBorder="1" applyAlignment="1">
      <alignment horizontal="center"/>
    </xf>
    <xf numFmtId="3" fontId="2" fillId="0" borderId="0" xfId="4" applyNumberFormat="1" applyFont="1" applyBorder="1" applyAlignment="1"/>
    <xf numFmtId="3" fontId="2" fillId="0" borderId="0" xfId="4" applyNumberFormat="1" applyFont="1" applyFill="1" applyBorder="1" applyAlignment="1">
      <alignment horizontal="right"/>
    </xf>
    <xf numFmtId="0" fontId="6" fillId="0" borderId="0" xfId="4" applyFont="1" applyBorder="1" applyAlignment="1"/>
    <xf numFmtId="0" fontId="6" fillId="0" borderId="0" xfId="4" applyFont="1" applyBorder="1" applyAlignment="1">
      <alignment horizontal="right"/>
    </xf>
    <xf numFmtId="0" fontId="6" fillId="0" borderId="0" xfId="4" applyFont="1" applyBorder="1" applyAlignment="1">
      <alignment horizontal="left" vertical="top"/>
    </xf>
    <xf numFmtId="0" fontId="6" fillId="0" borderId="0" xfId="4" applyFont="1" applyAlignment="1">
      <alignment vertical="top"/>
    </xf>
    <xf numFmtId="17" fontId="4" fillId="0" borderId="0" xfId="4" applyNumberFormat="1" applyFont="1"/>
    <xf numFmtId="0" fontId="12" fillId="0" borderId="0" xfId="0" applyFont="1" applyFill="1" applyBorder="1" applyAlignment="1">
      <alignment horizontal="center"/>
    </xf>
    <xf numFmtId="0" fontId="9" fillId="0" borderId="0" xfId="0" applyFont="1" applyFill="1" applyBorder="1"/>
    <xf numFmtId="0" fontId="12" fillId="0" borderId="0" xfId="0" applyFont="1" applyFill="1" applyBorder="1"/>
    <xf numFmtId="0" fontId="12" fillId="0" borderId="1" xfId="0" applyFont="1" applyFill="1" applyBorder="1" applyAlignment="1">
      <alignment horizontal="center"/>
    </xf>
    <xf numFmtId="0" fontId="9" fillId="2" borderId="2" xfId="0" applyFont="1" applyFill="1" applyBorder="1"/>
    <xf numFmtId="0" fontId="12" fillId="2" borderId="12" xfId="0" applyFont="1" applyFill="1" applyBorder="1" applyAlignment="1">
      <alignment horizontal="centerContinuous" vertical="center"/>
    </xf>
    <xf numFmtId="0" fontId="12" fillId="2" borderId="13" xfId="0" applyFont="1" applyFill="1" applyBorder="1" applyAlignment="1">
      <alignment horizontal="centerContinuous"/>
    </xf>
    <xf numFmtId="0" fontId="12" fillId="2" borderId="4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top"/>
    </xf>
    <xf numFmtId="0" fontId="12" fillId="2" borderId="2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top"/>
    </xf>
    <xf numFmtId="0" fontId="9" fillId="2" borderId="4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top"/>
    </xf>
    <xf numFmtId="0" fontId="9" fillId="2" borderId="5" xfId="0" applyFont="1" applyFill="1" applyBorder="1"/>
    <xf numFmtId="0" fontId="12" fillId="2" borderId="5" xfId="0" applyFont="1" applyFill="1" applyBorder="1" applyAlignment="1">
      <alignment horizontal="center" vertical="top"/>
    </xf>
    <xf numFmtId="0" fontId="12" fillId="2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top"/>
    </xf>
    <xf numFmtId="0" fontId="9" fillId="0" borderId="2" xfId="0" applyFont="1" applyFill="1" applyBorder="1" applyAlignment="1">
      <alignment vertical="top" wrapText="1"/>
    </xf>
    <xf numFmtId="3" fontId="9" fillId="0" borderId="2" xfId="0" applyNumberFormat="1" applyFont="1" applyFill="1" applyBorder="1" applyAlignment="1">
      <alignment horizontal="right" wrapText="1"/>
    </xf>
    <xf numFmtId="3" fontId="12" fillId="0" borderId="2" xfId="0" applyNumberFormat="1" applyFont="1" applyFill="1" applyBorder="1" applyAlignment="1">
      <alignment horizontal="right" wrapText="1"/>
    </xf>
    <xf numFmtId="0" fontId="9" fillId="0" borderId="4" xfId="0" applyFont="1" applyFill="1" applyBorder="1" applyAlignment="1">
      <alignment vertical="top" wrapText="1"/>
    </xf>
    <xf numFmtId="3" fontId="9" fillId="0" borderId="4" xfId="0" applyNumberFormat="1" applyFont="1" applyFill="1" applyBorder="1" applyAlignment="1">
      <alignment horizontal="right" wrapText="1"/>
    </xf>
    <xf numFmtId="3" fontId="12" fillId="0" borderId="4" xfId="0" applyNumberFormat="1" applyFont="1" applyFill="1" applyBorder="1" applyAlignment="1">
      <alignment horizontal="right" wrapText="1"/>
    </xf>
    <xf numFmtId="3" fontId="9" fillId="0" borderId="4" xfId="0" applyNumberFormat="1" applyFont="1" applyFill="1" applyBorder="1" applyAlignment="1">
      <alignment horizontal="right" vertical="top" wrapText="1"/>
    </xf>
    <xf numFmtId="3" fontId="9" fillId="0" borderId="4" xfId="0" applyNumberFormat="1" applyFont="1" applyFill="1" applyBorder="1" applyAlignment="1">
      <alignment vertical="top" wrapText="1"/>
    </xf>
    <xf numFmtId="3" fontId="12" fillId="0" borderId="4" xfId="0" applyNumberFormat="1" applyFont="1" applyFill="1" applyBorder="1" applyAlignment="1">
      <alignment vertical="top" wrapText="1"/>
    </xf>
    <xf numFmtId="0" fontId="12" fillId="0" borderId="12" xfId="0" applyFont="1" applyFill="1" applyBorder="1" applyAlignment="1">
      <alignment horizontal="center" wrapText="1"/>
    </xf>
    <xf numFmtId="3" fontId="12" fillId="0" borderId="3" xfId="0" applyNumberFormat="1" applyFont="1" applyFill="1" applyBorder="1" applyAlignment="1">
      <alignment horizontal="right" wrapText="1"/>
    </xf>
    <xf numFmtId="0" fontId="9" fillId="0" borderId="0" xfId="0" applyFont="1"/>
    <xf numFmtId="0" fontId="9" fillId="0" borderId="0" xfId="0" applyFont="1" applyFill="1" applyBorder="1" applyAlignment="1">
      <alignment horizontal="right"/>
    </xf>
    <xf numFmtId="17" fontId="9" fillId="0" borderId="0" xfId="0" applyNumberFormat="1" applyFont="1"/>
    <xf numFmtId="0" fontId="9" fillId="2" borderId="14" xfId="0" applyFont="1" applyFill="1" applyBorder="1" applyAlignment="1">
      <alignment horizontal="center"/>
    </xf>
    <xf numFmtId="0" fontId="9" fillId="2" borderId="15" xfId="0" applyFont="1" applyFill="1" applyBorder="1" applyAlignment="1">
      <alignment horizont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top" wrapText="1"/>
    </xf>
    <xf numFmtId="0" fontId="12" fillId="2" borderId="2" xfId="0" applyFont="1" applyFill="1" applyBorder="1" applyAlignment="1">
      <alignment horizontal="center" vertical="top" wrapText="1"/>
    </xf>
    <xf numFmtId="0" fontId="12" fillId="2" borderId="4" xfId="0" applyFont="1" applyFill="1" applyBorder="1" applyAlignment="1">
      <alignment horizontal="center" vertical="top" wrapText="1"/>
    </xf>
    <xf numFmtId="0" fontId="12" fillId="2" borderId="4" xfId="0" applyFont="1" applyFill="1" applyBorder="1" applyAlignment="1">
      <alignment horizontal="center" vertical="top" wrapText="1"/>
    </xf>
    <xf numFmtId="0" fontId="9" fillId="2" borderId="18" xfId="0" applyFont="1" applyFill="1" applyBorder="1" applyAlignment="1">
      <alignment horizontal="center"/>
    </xf>
    <xf numFmtId="0" fontId="9" fillId="2" borderId="19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 vertical="top" wrapText="1"/>
    </xf>
    <xf numFmtId="0" fontId="12" fillId="2" borderId="5" xfId="0" applyFont="1" applyFill="1" applyBorder="1" applyAlignment="1">
      <alignment horizontal="center" vertical="top" wrapText="1"/>
    </xf>
    <xf numFmtId="0" fontId="9" fillId="0" borderId="14" xfId="0" applyFont="1" applyFill="1" applyBorder="1" applyAlignment="1">
      <alignment vertical="top" wrapText="1"/>
    </xf>
    <xf numFmtId="0" fontId="9" fillId="0" borderId="15" xfId="0" applyFont="1" applyFill="1" applyBorder="1" applyAlignment="1">
      <alignment vertical="top" wrapText="1"/>
    </xf>
    <xf numFmtId="49" fontId="9" fillId="0" borderId="16" xfId="0" applyNumberFormat="1" applyFont="1" applyFill="1" applyBorder="1" applyAlignment="1">
      <alignment horizontal="right" vertical="top" wrapText="1"/>
    </xf>
    <xf numFmtId="0" fontId="9" fillId="0" borderId="17" xfId="0" applyFont="1" applyFill="1" applyBorder="1" applyAlignment="1">
      <alignment vertical="top" wrapText="1"/>
    </xf>
    <xf numFmtId="3" fontId="12" fillId="0" borderId="4" xfId="0" applyNumberFormat="1" applyFont="1" applyFill="1" applyBorder="1" applyAlignment="1">
      <alignment horizontal="right" vertical="top" wrapText="1"/>
    </xf>
    <xf numFmtId="3" fontId="9" fillId="0" borderId="4" xfId="0" applyNumberFormat="1" applyFont="1" applyBorder="1" applyAlignment="1">
      <alignment horizontal="right" vertical="top" wrapText="1"/>
    </xf>
    <xf numFmtId="0" fontId="9" fillId="0" borderId="16" xfId="0" applyFont="1" applyFill="1" applyBorder="1" applyAlignment="1">
      <alignment vertical="top" wrapText="1"/>
    </xf>
    <xf numFmtId="0" fontId="12" fillId="0" borderId="12" xfId="0" applyFont="1" applyFill="1" applyBorder="1" applyAlignment="1">
      <alignment horizontal="center" wrapText="1"/>
    </xf>
    <xf numFmtId="0" fontId="12" fillId="0" borderId="20" xfId="0" applyFont="1" applyFill="1" applyBorder="1" applyAlignment="1">
      <alignment horizontal="center" wrapText="1"/>
    </xf>
    <xf numFmtId="17" fontId="0" fillId="0" borderId="0" xfId="0" applyNumberFormat="1"/>
    <xf numFmtId="3" fontId="9" fillId="0" borderId="5" xfId="0" applyNumberFormat="1" applyFont="1" applyFill="1" applyBorder="1" applyAlignment="1">
      <alignment horizontal="right" wrapText="1"/>
    </xf>
    <xf numFmtId="3" fontId="12" fillId="0" borderId="5" xfId="0" applyNumberFormat="1" applyFont="1" applyFill="1" applyBorder="1" applyAlignment="1">
      <alignment horizontal="right" wrapText="1"/>
    </xf>
    <xf numFmtId="0" fontId="9" fillId="0" borderId="4" xfId="0" applyFont="1" applyBorder="1"/>
    <xf numFmtId="0" fontId="9" fillId="0" borderId="4" xfId="0" applyFont="1" applyBorder="1" applyAlignment="1">
      <alignment vertical="top" wrapText="1"/>
    </xf>
    <xf numFmtId="3" fontId="9" fillId="0" borderId="0" xfId="0" applyNumberFormat="1" applyFont="1" applyFill="1" applyBorder="1"/>
    <xf numFmtId="0" fontId="12" fillId="0" borderId="3" xfId="0" applyFont="1" applyFill="1" applyBorder="1" applyAlignment="1">
      <alignment horizontal="center" wrapText="1"/>
    </xf>
    <xf numFmtId="3" fontId="9" fillId="0" borderId="4" xfId="0" applyNumberFormat="1" applyFont="1" applyBorder="1" applyAlignment="1">
      <alignment horizontal="right" wrapText="1"/>
    </xf>
    <xf numFmtId="0" fontId="9" fillId="0" borderId="16" xfId="0" applyFont="1" applyFill="1" applyBorder="1" applyAlignment="1">
      <alignment horizontal="left" vertical="top" wrapText="1" indent="1"/>
    </xf>
    <xf numFmtId="3" fontId="9" fillId="0" borderId="5" xfId="0" applyNumberFormat="1" applyFont="1" applyFill="1" applyBorder="1" applyAlignment="1">
      <alignment vertical="top" wrapText="1"/>
    </xf>
    <xf numFmtId="3" fontId="12" fillId="0" borderId="5" xfId="0" applyNumberFormat="1" applyFont="1" applyFill="1" applyBorder="1" applyAlignment="1">
      <alignment vertical="top" wrapText="1"/>
    </xf>
    <xf numFmtId="0" fontId="9" fillId="0" borderId="2" xfId="0" applyFont="1" applyFill="1" applyBorder="1" applyAlignment="1">
      <alignment horizontal="center" vertical="top" wrapText="1"/>
    </xf>
    <xf numFmtId="0" fontId="9" fillId="0" borderId="4" xfId="0" applyFont="1" applyFill="1" applyBorder="1" applyAlignment="1">
      <alignment horizontal="center" vertical="top" wrapText="1"/>
    </xf>
    <xf numFmtId="0" fontId="12" fillId="2" borderId="4" xfId="0" applyFont="1" applyFill="1" applyBorder="1" applyAlignment="1">
      <alignment horizontal="center" vertical="center" wrapText="1"/>
    </xf>
  </cellXfs>
  <cellStyles count="5">
    <cellStyle name="Comma" xfId="1" builtinId="3"/>
    <cellStyle name="Normal" xfId="0" builtinId="0"/>
    <cellStyle name="Normal 2" xfId="4"/>
    <cellStyle name="ปกติ_Sheet1" xfId="2"/>
    <cellStyle name="ปกติ_Sheet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379095</xdr:colOff>
      <xdr:row>0</xdr:row>
      <xdr:rowOff>38100</xdr:rowOff>
    </xdr:from>
    <xdr:to>
      <xdr:col>7</xdr:col>
      <xdr:colOff>16031</xdr:colOff>
      <xdr:row>1</xdr:row>
      <xdr:rowOff>6354</xdr:rowOff>
    </xdr:to>
    <xdr:sp macro="" textlink="">
      <xdr:nvSpPr>
        <xdr:cNvPr id="2" name="วงรี 1"/>
        <xdr:cNvSpPr/>
      </xdr:nvSpPr>
      <xdr:spPr>
        <a:xfrm>
          <a:off x="4131945" y="38100"/>
          <a:ext cx="217961" cy="215904"/>
        </a:xfrm>
        <a:prstGeom prst="ellipse">
          <a:avLst/>
        </a:prstGeom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endParaRPr lang="en-US"/>
        </a:p>
      </xdr:txBody>
    </xdr:sp>
    <xdr:clientData/>
  </xdr:twoCellAnchor>
  <xdr:twoCellAnchor>
    <xdr:from>
      <xdr:col>6</xdr:col>
      <xdr:colOff>331470</xdr:colOff>
      <xdr:row>0</xdr:row>
      <xdr:rowOff>0</xdr:rowOff>
    </xdr:from>
    <xdr:to>
      <xdr:col>7</xdr:col>
      <xdr:colOff>66648</xdr:colOff>
      <xdr:row>1</xdr:row>
      <xdr:rowOff>66675</xdr:rowOff>
    </xdr:to>
    <xdr:sp macro="" textlink="">
      <xdr:nvSpPr>
        <xdr:cNvPr id="3" name="TextBox 2"/>
        <xdr:cNvSpPr txBox="1"/>
      </xdr:nvSpPr>
      <xdr:spPr>
        <a:xfrm>
          <a:off x="4084320" y="0"/>
          <a:ext cx="316203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400">
              <a:latin typeface="TH SarabunPSK" pitchFamily="34" charset="-34"/>
              <a:cs typeface="TH SarabunPSK" pitchFamily="34" charset="-34"/>
            </a:rPr>
            <a:t> 6</a:t>
          </a:r>
        </a:p>
      </xdr:txBody>
    </xdr:sp>
    <xdr:clientData/>
  </xdr:twoCellAnchor>
  <xdr:twoCellAnchor>
    <xdr:from>
      <xdr:col>0</xdr:col>
      <xdr:colOff>0</xdr:colOff>
      <xdr:row>56</xdr:row>
      <xdr:rowOff>99382</xdr:rowOff>
    </xdr:from>
    <xdr:to>
      <xdr:col>7</xdr:col>
      <xdr:colOff>5935</xdr:colOff>
      <xdr:row>57</xdr:row>
      <xdr:rowOff>276030</xdr:rowOff>
    </xdr:to>
    <xdr:sp macro="" textlink="">
      <xdr:nvSpPr>
        <xdr:cNvPr id="4" name="TextBox 3"/>
        <xdr:cNvSpPr txBox="1"/>
      </xdr:nvSpPr>
      <xdr:spPr>
        <a:xfrm>
          <a:off x="0" y="7643182"/>
          <a:ext cx="4339810" cy="300473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th-TH" sz="1400">
              <a:latin typeface="TH SarabunPSK" panose="020B0500040200020003" pitchFamily="34" charset="-34"/>
              <a:cs typeface="TH SarabunPSK" panose="020B0500040200020003" pitchFamily="34" charset="-34"/>
            </a:rPr>
            <a:t>เงินทดแทน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262889</xdr:colOff>
      <xdr:row>1</xdr:row>
      <xdr:rowOff>11430</xdr:rowOff>
    </xdr:from>
    <xdr:to>
      <xdr:col>9</xdr:col>
      <xdr:colOff>3056</xdr:colOff>
      <xdr:row>1</xdr:row>
      <xdr:rowOff>235144</xdr:rowOff>
    </xdr:to>
    <xdr:sp macro="" textlink="">
      <xdr:nvSpPr>
        <xdr:cNvPr id="2" name="วงรี 1"/>
        <xdr:cNvSpPr/>
      </xdr:nvSpPr>
      <xdr:spPr>
        <a:xfrm>
          <a:off x="5082539" y="259080"/>
          <a:ext cx="206892" cy="223714"/>
        </a:xfrm>
        <a:prstGeom prst="ellipse">
          <a:avLst/>
        </a:prstGeom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endParaRPr lang="en-US"/>
        </a:p>
      </xdr:txBody>
    </xdr:sp>
    <xdr:clientData/>
  </xdr:twoCellAnchor>
  <xdr:twoCellAnchor>
    <xdr:from>
      <xdr:col>8</xdr:col>
      <xdr:colOff>224790</xdr:colOff>
      <xdr:row>0</xdr:row>
      <xdr:rowOff>219075</xdr:rowOff>
    </xdr:from>
    <xdr:to>
      <xdr:col>9</xdr:col>
      <xdr:colOff>86084</xdr:colOff>
      <xdr:row>2</xdr:row>
      <xdr:rowOff>38100</xdr:rowOff>
    </xdr:to>
    <xdr:sp macro="" textlink="">
      <xdr:nvSpPr>
        <xdr:cNvPr id="3" name="TextBox 2"/>
        <xdr:cNvSpPr txBox="1"/>
      </xdr:nvSpPr>
      <xdr:spPr>
        <a:xfrm>
          <a:off x="5044440" y="219075"/>
          <a:ext cx="328019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400">
              <a:latin typeface="TH SarabunPSK" pitchFamily="34" charset="-34"/>
              <a:cs typeface="TH SarabunPSK" pitchFamily="34" charset="-34"/>
            </a:rPr>
            <a:t>29</a:t>
          </a:r>
        </a:p>
      </xdr:txBody>
    </xdr:sp>
    <xdr:clientData/>
  </xdr:twoCellAnchor>
  <xdr:twoCellAnchor>
    <xdr:from>
      <xdr:col>8</xdr:col>
      <xdr:colOff>264794</xdr:colOff>
      <xdr:row>36</xdr:row>
      <xdr:rowOff>9525</xdr:rowOff>
    </xdr:from>
    <xdr:to>
      <xdr:col>9</xdr:col>
      <xdr:colOff>22018</xdr:colOff>
      <xdr:row>36</xdr:row>
      <xdr:rowOff>205011</xdr:rowOff>
    </xdr:to>
    <xdr:sp macro="" textlink="">
      <xdr:nvSpPr>
        <xdr:cNvPr id="4" name="วงรี 3"/>
        <xdr:cNvSpPr/>
      </xdr:nvSpPr>
      <xdr:spPr>
        <a:xfrm>
          <a:off x="5084444" y="8953500"/>
          <a:ext cx="223949" cy="195486"/>
        </a:xfrm>
        <a:prstGeom prst="ellipse">
          <a:avLst/>
        </a:prstGeom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endParaRPr lang="en-US"/>
        </a:p>
      </xdr:txBody>
    </xdr:sp>
    <xdr:clientData/>
  </xdr:twoCellAnchor>
  <xdr:twoCellAnchor>
    <xdr:from>
      <xdr:col>8</xdr:col>
      <xdr:colOff>226695</xdr:colOff>
      <xdr:row>35</xdr:row>
      <xdr:rowOff>219075</xdr:rowOff>
    </xdr:from>
    <xdr:to>
      <xdr:col>9</xdr:col>
      <xdr:colOff>152399</xdr:colOff>
      <xdr:row>37</xdr:row>
      <xdr:rowOff>38100</xdr:rowOff>
    </xdr:to>
    <xdr:sp macro="" textlink="">
      <xdr:nvSpPr>
        <xdr:cNvPr id="5" name="TextBox 4"/>
        <xdr:cNvSpPr txBox="1"/>
      </xdr:nvSpPr>
      <xdr:spPr>
        <a:xfrm>
          <a:off x="5046345" y="8915400"/>
          <a:ext cx="392429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400">
              <a:latin typeface="TH SarabunPSK" pitchFamily="34" charset="-34"/>
              <a:cs typeface="TH SarabunPSK" pitchFamily="34" charset="-34"/>
            </a:rPr>
            <a:t>30</a:t>
          </a:r>
        </a:p>
      </xdr:txBody>
    </xdr:sp>
    <xdr:clientData/>
  </xdr:twoCellAnchor>
  <xdr:twoCellAnchor>
    <xdr:from>
      <xdr:col>8</xdr:col>
      <xdr:colOff>262889</xdr:colOff>
      <xdr:row>76</xdr:row>
      <xdr:rowOff>38100</xdr:rowOff>
    </xdr:from>
    <xdr:to>
      <xdr:col>9</xdr:col>
      <xdr:colOff>3056</xdr:colOff>
      <xdr:row>76</xdr:row>
      <xdr:rowOff>242073</xdr:rowOff>
    </xdr:to>
    <xdr:sp macro="" textlink="">
      <xdr:nvSpPr>
        <xdr:cNvPr id="6" name="วงรี 5"/>
        <xdr:cNvSpPr/>
      </xdr:nvSpPr>
      <xdr:spPr>
        <a:xfrm>
          <a:off x="5082539" y="17440275"/>
          <a:ext cx="206892" cy="203973"/>
        </a:xfrm>
        <a:prstGeom prst="ellipse">
          <a:avLst/>
        </a:prstGeom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endParaRPr lang="en-US"/>
        </a:p>
      </xdr:txBody>
    </xdr:sp>
    <xdr:clientData/>
  </xdr:twoCellAnchor>
  <xdr:twoCellAnchor>
    <xdr:from>
      <xdr:col>8</xdr:col>
      <xdr:colOff>224790</xdr:colOff>
      <xdr:row>76</xdr:row>
      <xdr:rowOff>0</xdr:rowOff>
    </xdr:from>
    <xdr:to>
      <xdr:col>9</xdr:col>
      <xdr:colOff>114394</xdr:colOff>
      <xdr:row>77</xdr:row>
      <xdr:rowOff>116305</xdr:rowOff>
    </xdr:to>
    <xdr:sp macro="" textlink="">
      <xdr:nvSpPr>
        <xdr:cNvPr id="7" name="TextBox 6"/>
        <xdr:cNvSpPr txBox="1"/>
      </xdr:nvSpPr>
      <xdr:spPr>
        <a:xfrm>
          <a:off x="5044440" y="17402175"/>
          <a:ext cx="356329" cy="3639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400">
              <a:latin typeface="TH SarabunPSK" pitchFamily="34" charset="-34"/>
              <a:cs typeface="TH SarabunPSK" pitchFamily="34" charset="-34"/>
            </a:rPr>
            <a:t>31</a:t>
          </a:r>
        </a:p>
      </xdr:txBody>
    </xdr:sp>
    <xdr:clientData/>
  </xdr:twoCellAnchor>
  <xdr:twoCellAnchor>
    <xdr:from>
      <xdr:col>8</xdr:col>
      <xdr:colOff>264794</xdr:colOff>
      <xdr:row>111</xdr:row>
      <xdr:rowOff>9525</xdr:rowOff>
    </xdr:from>
    <xdr:to>
      <xdr:col>9</xdr:col>
      <xdr:colOff>22018</xdr:colOff>
      <xdr:row>111</xdr:row>
      <xdr:rowOff>225525</xdr:rowOff>
    </xdr:to>
    <xdr:sp macro="" textlink="">
      <xdr:nvSpPr>
        <xdr:cNvPr id="8" name="วงรี 7"/>
        <xdr:cNvSpPr/>
      </xdr:nvSpPr>
      <xdr:spPr>
        <a:xfrm>
          <a:off x="5084444" y="25888950"/>
          <a:ext cx="223949" cy="216000"/>
        </a:xfrm>
        <a:prstGeom prst="ellipse">
          <a:avLst/>
        </a:prstGeom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endParaRPr lang="en-US"/>
        </a:p>
      </xdr:txBody>
    </xdr:sp>
    <xdr:clientData/>
  </xdr:twoCellAnchor>
  <xdr:twoCellAnchor>
    <xdr:from>
      <xdr:col>8</xdr:col>
      <xdr:colOff>227746</xdr:colOff>
      <xdr:row>110</xdr:row>
      <xdr:rowOff>217826</xdr:rowOff>
    </xdr:from>
    <xdr:to>
      <xdr:col>9</xdr:col>
      <xdr:colOff>191550</xdr:colOff>
      <xdr:row>111</xdr:row>
      <xdr:rowOff>189347</xdr:rowOff>
    </xdr:to>
    <xdr:sp macro="" textlink="">
      <xdr:nvSpPr>
        <xdr:cNvPr id="9" name="TextBox 8"/>
        <xdr:cNvSpPr txBox="1"/>
      </xdr:nvSpPr>
      <xdr:spPr>
        <a:xfrm>
          <a:off x="5047396" y="25849601"/>
          <a:ext cx="430529" cy="2191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400">
              <a:latin typeface="TH SarabunPSK" pitchFamily="34" charset="-34"/>
              <a:cs typeface="TH SarabunPSK" pitchFamily="34" charset="-34"/>
            </a:rPr>
            <a:t>32</a:t>
          </a:r>
        </a:p>
      </xdr:txBody>
    </xdr:sp>
    <xdr:clientData/>
  </xdr:twoCellAnchor>
  <xdr:twoCellAnchor>
    <xdr:from>
      <xdr:col>8</xdr:col>
      <xdr:colOff>264794</xdr:colOff>
      <xdr:row>146</xdr:row>
      <xdr:rowOff>28575</xdr:rowOff>
    </xdr:from>
    <xdr:to>
      <xdr:col>9</xdr:col>
      <xdr:colOff>22018</xdr:colOff>
      <xdr:row>146</xdr:row>
      <xdr:rowOff>244575</xdr:rowOff>
    </xdr:to>
    <xdr:sp macro="" textlink="">
      <xdr:nvSpPr>
        <xdr:cNvPr id="10" name="วงรี 9"/>
        <xdr:cNvSpPr/>
      </xdr:nvSpPr>
      <xdr:spPr>
        <a:xfrm>
          <a:off x="5084444" y="34575750"/>
          <a:ext cx="223949" cy="216000"/>
        </a:xfrm>
        <a:prstGeom prst="ellipse">
          <a:avLst/>
        </a:prstGeom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endParaRPr lang="en-US"/>
        </a:p>
      </xdr:txBody>
    </xdr:sp>
    <xdr:clientData/>
  </xdr:twoCellAnchor>
  <xdr:twoCellAnchor>
    <xdr:from>
      <xdr:col>8</xdr:col>
      <xdr:colOff>226695</xdr:colOff>
      <xdr:row>145</xdr:row>
      <xdr:rowOff>249620</xdr:rowOff>
    </xdr:from>
    <xdr:to>
      <xdr:col>9</xdr:col>
      <xdr:colOff>219043</xdr:colOff>
      <xdr:row>147</xdr:row>
      <xdr:rowOff>11514</xdr:rowOff>
    </xdr:to>
    <xdr:sp macro="" textlink="">
      <xdr:nvSpPr>
        <xdr:cNvPr id="11" name="TextBox 10"/>
        <xdr:cNvSpPr txBox="1"/>
      </xdr:nvSpPr>
      <xdr:spPr>
        <a:xfrm>
          <a:off x="5046345" y="34549145"/>
          <a:ext cx="459073" cy="2571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400">
              <a:latin typeface="TH SarabunPSK" pitchFamily="34" charset="-34"/>
              <a:cs typeface="TH SarabunPSK" pitchFamily="34" charset="-34"/>
            </a:rPr>
            <a:t>33</a:t>
          </a:r>
        </a:p>
      </xdr:txBody>
    </xdr:sp>
    <xdr:clientData/>
  </xdr:twoCellAnchor>
  <xdr:twoCellAnchor>
    <xdr:from>
      <xdr:col>8</xdr:col>
      <xdr:colOff>264794</xdr:colOff>
      <xdr:row>181</xdr:row>
      <xdr:rowOff>28575</xdr:rowOff>
    </xdr:from>
    <xdr:to>
      <xdr:col>9</xdr:col>
      <xdr:colOff>22018</xdr:colOff>
      <xdr:row>182</xdr:row>
      <xdr:rowOff>41</xdr:rowOff>
    </xdr:to>
    <xdr:sp macro="" textlink="">
      <xdr:nvSpPr>
        <xdr:cNvPr id="12" name="วงรี 9"/>
        <xdr:cNvSpPr/>
      </xdr:nvSpPr>
      <xdr:spPr>
        <a:xfrm>
          <a:off x="5084444" y="43243500"/>
          <a:ext cx="223949" cy="219116"/>
        </a:xfrm>
        <a:prstGeom prst="ellipse">
          <a:avLst/>
        </a:prstGeom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endParaRPr lang="en-US"/>
        </a:p>
      </xdr:txBody>
    </xdr:sp>
    <xdr:clientData/>
  </xdr:twoCellAnchor>
  <xdr:twoCellAnchor>
    <xdr:from>
      <xdr:col>8</xdr:col>
      <xdr:colOff>226695</xdr:colOff>
      <xdr:row>181</xdr:row>
      <xdr:rowOff>0</xdr:rowOff>
    </xdr:from>
    <xdr:to>
      <xdr:col>9</xdr:col>
      <xdr:colOff>219043</xdr:colOff>
      <xdr:row>182</xdr:row>
      <xdr:rowOff>11514</xdr:rowOff>
    </xdr:to>
    <xdr:sp macro="" textlink="">
      <xdr:nvSpPr>
        <xdr:cNvPr id="13" name="TextBox 12"/>
        <xdr:cNvSpPr txBox="1"/>
      </xdr:nvSpPr>
      <xdr:spPr>
        <a:xfrm>
          <a:off x="5046345" y="43214925"/>
          <a:ext cx="459073" cy="2591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400">
              <a:latin typeface="TH SarabunPSK" pitchFamily="34" charset="-34"/>
              <a:cs typeface="TH SarabunPSK" pitchFamily="34" charset="-34"/>
            </a:rPr>
            <a:t>34</a:t>
          </a:r>
        </a:p>
      </xdr:txBody>
    </xdr:sp>
    <xdr:clientData/>
  </xdr:twoCellAnchor>
  <xdr:twoCellAnchor>
    <xdr:from>
      <xdr:col>0</xdr:col>
      <xdr:colOff>0</xdr:colOff>
      <xdr:row>213</xdr:row>
      <xdr:rowOff>197069</xdr:rowOff>
    </xdr:from>
    <xdr:to>
      <xdr:col>8</xdr:col>
      <xdr:colOff>463191</xdr:colOff>
      <xdr:row>214</xdr:row>
      <xdr:rowOff>238933</xdr:rowOff>
    </xdr:to>
    <xdr:sp macro="" textlink="">
      <xdr:nvSpPr>
        <xdr:cNvPr id="14" name="TextBox 13"/>
        <xdr:cNvSpPr txBox="1"/>
      </xdr:nvSpPr>
      <xdr:spPr>
        <a:xfrm>
          <a:off x="0" y="51355844"/>
          <a:ext cx="5282841" cy="28951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th-TH" sz="1400">
              <a:latin typeface="TH SarabunPSK" panose="020B0500040200020003" pitchFamily="34" charset="-34"/>
              <a:cs typeface="TH SarabunPSK" panose="020B0500040200020003" pitchFamily="34" charset="-34"/>
            </a:rPr>
            <a:t>เงินทดแทน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238125</xdr:colOff>
      <xdr:row>0</xdr:row>
      <xdr:rowOff>47625</xdr:rowOff>
    </xdr:from>
    <xdr:to>
      <xdr:col>7</xdr:col>
      <xdr:colOff>454125</xdr:colOff>
      <xdr:row>0</xdr:row>
      <xdr:rowOff>263604</xdr:rowOff>
    </xdr:to>
    <xdr:sp macro="" textlink="">
      <xdr:nvSpPr>
        <xdr:cNvPr id="2" name="วงรี 1"/>
        <xdr:cNvSpPr/>
      </xdr:nvSpPr>
      <xdr:spPr>
        <a:xfrm>
          <a:off x="5229225" y="47625"/>
          <a:ext cx="216000" cy="215979"/>
        </a:xfrm>
        <a:prstGeom prst="ellipse">
          <a:avLst/>
        </a:prstGeom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endParaRPr lang="en-US"/>
        </a:p>
      </xdr:txBody>
    </xdr:sp>
    <xdr:clientData/>
  </xdr:twoCellAnchor>
  <xdr:twoCellAnchor>
    <xdr:from>
      <xdr:col>7</xdr:col>
      <xdr:colOff>197126</xdr:colOff>
      <xdr:row>0</xdr:row>
      <xdr:rowOff>9525</xdr:rowOff>
    </xdr:from>
    <xdr:to>
      <xdr:col>8</xdr:col>
      <xdr:colOff>27732</xdr:colOff>
      <xdr:row>1</xdr:row>
      <xdr:rowOff>64822</xdr:rowOff>
    </xdr:to>
    <xdr:sp macro="" textlink="">
      <xdr:nvSpPr>
        <xdr:cNvPr id="3" name="TextBox 2"/>
        <xdr:cNvSpPr txBox="1"/>
      </xdr:nvSpPr>
      <xdr:spPr>
        <a:xfrm>
          <a:off x="5188226" y="9525"/>
          <a:ext cx="316381" cy="3219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400">
              <a:latin typeface="TH SarabunPSK" pitchFamily="34" charset="-34"/>
              <a:cs typeface="TH SarabunPSK" pitchFamily="34" charset="-34"/>
            </a:rPr>
            <a:t>35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360045</xdr:colOff>
      <xdr:row>0</xdr:row>
      <xdr:rowOff>47625</xdr:rowOff>
    </xdr:from>
    <xdr:to>
      <xdr:col>6</xdr:col>
      <xdr:colOff>583759</xdr:colOff>
      <xdr:row>0</xdr:row>
      <xdr:rowOff>263625</xdr:rowOff>
    </xdr:to>
    <xdr:sp macro="" textlink="">
      <xdr:nvSpPr>
        <xdr:cNvPr id="2" name="วงรี 1"/>
        <xdr:cNvSpPr/>
      </xdr:nvSpPr>
      <xdr:spPr>
        <a:xfrm>
          <a:off x="5684520" y="47625"/>
          <a:ext cx="223714" cy="216000"/>
        </a:xfrm>
        <a:prstGeom prst="ellipse">
          <a:avLst/>
        </a:prstGeom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endParaRPr lang="en-US"/>
        </a:p>
      </xdr:txBody>
    </xdr:sp>
    <xdr:clientData/>
  </xdr:twoCellAnchor>
  <xdr:twoCellAnchor>
    <xdr:from>
      <xdr:col>6</xdr:col>
      <xdr:colOff>321945</xdr:colOff>
      <xdr:row>0</xdr:row>
      <xdr:rowOff>0</xdr:rowOff>
    </xdr:from>
    <xdr:to>
      <xdr:col>7</xdr:col>
      <xdr:colOff>47550</xdr:colOff>
      <xdr:row>0</xdr:row>
      <xdr:rowOff>304800</xdr:rowOff>
    </xdr:to>
    <xdr:sp macro="" textlink="">
      <xdr:nvSpPr>
        <xdr:cNvPr id="3" name="TextBox 2"/>
        <xdr:cNvSpPr txBox="1"/>
      </xdr:nvSpPr>
      <xdr:spPr>
        <a:xfrm>
          <a:off x="5646420" y="0"/>
          <a:ext cx="33520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400">
              <a:latin typeface="TH SarabunPSK" pitchFamily="34" charset="-34"/>
              <a:cs typeface="TH SarabunPSK" pitchFamily="34" charset="-34"/>
            </a:rPr>
            <a:t>37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371475</xdr:colOff>
      <xdr:row>0</xdr:row>
      <xdr:rowOff>28575</xdr:rowOff>
    </xdr:from>
    <xdr:to>
      <xdr:col>8</xdr:col>
      <xdr:colOff>578084</xdr:colOff>
      <xdr:row>0</xdr:row>
      <xdr:rowOff>235184</xdr:rowOff>
    </xdr:to>
    <xdr:sp macro="" textlink="">
      <xdr:nvSpPr>
        <xdr:cNvPr id="2" name="วงรี 1"/>
        <xdr:cNvSpPr/>
      </xdr:nvSpPr>
      <xdr:spPr>
        <a:xfrm>
          <a:off x="6743700" y="28575"/>
          <a:ext cx="206609" cy="206609"/>
        </a:xfrm>
        <a:prstGeom prst="ellipse">
          <a:avLst/>
        </a:prstGeom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endParaRPr lang="en-US"/>
        </a:p>
      </xdr:txBody>
    </xdr:sp>
    <xdr:clientData/>
  </xdr:twoCellAnchor>
  <xdr:twoCellAnchor>
    <xdr:from>
      <xdr:col>8</xdr:col>
      <xdr:colOff>333375</xdr:colOff>
      <xdr:row>0</xdr:row>
      <xdr:rowOff>0</xdr:rowOff>
    </xdr:from>
    <xdr:to>
      <xdr:col>9</xdr:col>
      <xdr:colOff>57150</xdr:colOff>
      <xdr:row>1</xdr:row>
      <xdr:rowOff>38100</xdr:rowOff>
    </xdr:to>
    <xdr:sp macro="" textlink="">
      <xdr:nvSpPr>
        <xdr:cNvPr id="3" name="TextBox 2"/>
        <xdr:cNvSpPr txBox="1"/>
      </xdr:nvSpPr>
      <xdr:spPr>
        <a:xfrm>
          <a:off x="6705600" y="0"/>
          <a:ext cx="33337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400">
              <a:latin typeface="TH SarabunPSK" pitchFamily="34" charset="-34"/>
              <a:cs typeface="TH SarabunPSK" pitchFamily="34" charset="-34"/>
            </a:rPr>
            <a:t>38</a:t>
          </a:r>
        </a:p>
      </xdr:txBody>
    </xdr:sp>
    <xdr:clientData/>
  </xdr:twoCellAnchor>
  <xdr:twoCellAnchor>
    <xdr:from>
      <xdr:col>1</xdr:col>
      <xdr:colOff>0</xdr:colOff>
      <xdr:row>36</xdr:row>
      <xdr:rowOff>9525</xdr:rowOff>
    </xdr:from>
    <xdr:to>
      <xdr:col>8</xdr:col>
      <xdr:colOff>598714</xdr:colOff>
      <xdr:row>37</xdr:row>
      <xdr:rowOff>146329</xdr:rowOff>
    </xdr:to>
    <xdr:sp macro="" textlink="">
      <xdr:nvSpPr>
        <xdr:cNvPr id="4" name="TextBox 3"/>
        <xdr:cNvSpPr txBox="1"/>
      </xdr:nvSpPr>
      <xdr:spPr>
        <a:xfrm>
          <a:off x="714375" y="10525125"/>
          <a:ext cx="6256564" cy="29872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th-TH" sz="1400">
              <a:latin typeface="TH SarabunPSK" panose="020B0500040200020003" pitchFamily="34" charset="-34"/>
              <a:cs typeface="TH SarabunPSK" panose="020B0500040200020003" pitchFamily="34" charset="-34"/>
            </a:rPr>
            <a:t>เงินทดแทน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360045</xdr:colOff>
      <xdr:row>0</xdr:row>
      <xdr:rowOff>38100</xdr:rowOff>
    </xdr:from>
    <xdr:to>
      <xdr:col>6</xdr:col>
      <xdr:colOff>583759</xdr:colOff>
      <xdr:row>0</xdr:row>
      <xdr:rowOff>254100</xdr:rowOff>
    </xdr:to>
    <xdr:sp macro="" textlink="">
      <xdr:nvSpPr>
        <xdr:cNvPr id="2" name="วงรี 1"/>
        <xdr:cNvSpPr/>
      </xdr:nvSpPr>
      <xdr:spPr>
        <a:xfrm>
          <a:off x="5684520" y="38100"/>
          <a:ext cx="223714" cy="216000"/>
        </a:xfrm>
        <a:prstGeom prst="ellipse">
          <a:avLst/>
        </a:prstGeom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endParaRPr lang="en-US"/>
        </a:p>
      </xdr:txBody>
    </xdr:sp>
    <xdr:clientData/>
  </xdr:twoCellAnchor>
  <xdr:twoCellAnchor>
    <xdr:from>
      <xdr:col>6</xdr:col>
      <xdr:colOff>321945</xdr:colOff>
      <xdr:row>0</xdr:row>
      <xdr:rowOff>0</xdr:rowOff>
    </xdr:from>
    <xdr:to>
      <xdr:col>7</xdr:col>
      <xdr:colOff>47550</xdr:colOff>
      <xdr:row>0</xdr:row>
      <xdr:rowOff>304800</xdr:rowOff>
    </xdr:to>
    <xdr:sp macro="" textlink="">
      <xdr:nvSpPr>
        <xdr:cNvPr id="3" name="TextBox 2"/>
        <xdr:cNvSpPr txBox="1"/>
      </xdr:nvSpPr>
      <xdr:spPr>
        <a:xfrm>
          <a:off x="5646420" y="0"/>
          <a:ext cx="33520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400">
              <a:latin typeface="TH SarabunPSK" pitchFamily="34" charset="-34"/>
              <a:cs typeface="TH SarabunPSK" pitchFamily="34" charset="-34"/>
            </a:rPr>
            <a:t>39</a:t>
          </a:r>
        </a:p>
      </xdr:txBody>
    </xdr:sp>
    <xdr:clientData/>
  </xdr:twoCellAnchor>
  <xdr:twoCellAnchor>
    <xdr:from>
      <xdr:col>0</xdr:col>
      <xdr:colOff>0</xdr:colOff>
      <xdr:row>34</xdr:row>
      <xdr:rowOff>133350</xdr:rowOff>
    </xdr:from>
    <xdr:to>
      <xdr:col>6</xdr:col>
      <xdr:colOff>587267</xdr:colOff>
      <xdr:row>35</xdr:row>
      <xdr:rowOff>167550</xdr:rowOff>
    </xdr:to>
    <xdr:sp macro="" textlink="">
      <xdr:nvSpPr>
        <xdr:cNvPr id="4" name="TextBox 3"/>
        <xdr:cNvSpPr txBox="1"/>
      </xdr:nvSpPr>
      <xdr:spPr>
        <a:xfrm>
          <a:off x="0" y="9801225"/>
          <a:ext cx="5911742" cy="3009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th-TH" sz="1400">
              <a:latin typeface="TH SarabunPSK" panose="020B0500040200020003" pitchFamily="34" charset="-34"/>
              <a:cs typeface="TH SarabunPSK" panose="020B0500040200020003" pitchFamily="34" charset="-34"/>
            </a:rPr>
            <a:t>เงินทดแทน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360045</xdr:colOff>
      <xdr:row>0</xdr:row>
      <xdr:rowOff>28575</xdr:rowOff>
    </xdr:from>
    <xdr:to>
      <xdr:col>6</xdr:col>
      <xdr:colOff>583759</xdr:colOff>
      <xdr:row>0</xdr:row>
      <xdr:rowOff>235184</xdr:rowOff>
    </xdr:to>
    <xdr:sp macro="" textlink="">
      <xdr:nvSpPr>
        <xdr:cNvPr id="2" name="วงรี 1"/>
        <xdr:cNvSpPr/>
      </xdr:nvSpPr>
      <xdr:spPr>
        <a:xfrm>
          <a:off x="5684520" y="28575"/>
          <a:ext cx="223714" cy="206609"/>
        </a:xfrm>
        <a:prstGeom prst="ellipse">
          <a:avLst/>
        </a:prstGeom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endParaRPr lang="en-US"/>
        </a:p>
      </xdr:txBody>
    </xdr:sp>
    <xdr:clientData/>
  </xdr:twoCellAnchor>
  <xdr:twoCellAnchor>
    <xdr:from>
      <xdr:col>6</xdr:col>
      <xdr:colOff>321945</xdr:colOff>
      <xdr:row>0</xdr:row>
      <xdr:rowOff>0</xdr:rowOff>
    </xdr:from>
    <xdr:to>
      <xdr:col>7</xdr:col>
      <xdr:colOff>47550</xdr:colOff>
      <xdr:row>1</xdr:row>
      <xdr:rowOff>38100</xdr:rowOff>
    </xdr:to>
    <xdr:sp macro="" textlink="">
      <xdr:nvSpPr>
        <xdr:cNvPr id="3" name="TextBox 2"/>
        <xdr:cNvSpPr txBox="1"/>
      </xdr:nvSpPr>
      <xdr:spPr>
        <a:xfrm>
          <a:off x="5646420" y="0"/>
          <a:ext cx="33520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400">
              <a:latin typeface="TH SarabunPSK" pitchFamily="34" charset="-34"/>
              <a:cs typeface="TH SarabunPSK" pitchFamily="34" charset="-34"/>
            </a:rPr>
            <a:t>40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320040</xdr:colOff>
      <xdr:row>0</xdr:row>
      <xdr:rowOff>38100</xdr:rowOff>
    </xdr:from>
    <xdr:to>
      <xdr:col>6</xdr:col>
      <xdr:colOff>534178</xdr:colOff>
      <xdr:row>0</xdr:row>
      <xdr:rowOff>254100</xdr:rowOff>
    </xdr:to>
    <xdr:sp macro="" textlink="">
      <xdr:nvSpPr>
        <xdr:cNvPr id="2" name="วงรี 1"/>
        <xdr:cNvSpPr/>
      </xdr:nvSpPr>
      <xdr:spPr>
        <a:xfrm>
          <a:off x="5806440" y="38100"/>
          <a:ext cx="214138" cy="216000"/>
        </a:xfrm>
        <a:prstGeom prst="ellipse">
          <a:avLst/>
        </a:prstGeom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endParaRPr lang="en-US"/>
        </a:p>
      </xdr:txBody>
    </xdr:sp>
    <xdr:clientData/>
  </xdr:twoCellAnchor>
  <xdr:twoCellAnchor>
    <xdr:from>
      <xdr:col>6</xdr:col>
      <xdr:colOff>264795</xdr:colOff>
      <xdr:row>0</xdr:row>
      <xdr:rowOff>0</xdr:rowOff>
    </xdr:from>
    <xdr:to>
      <xdr:col>7</xdr:col>
      <xdr:colOff>38156</xdr:colOff>
      <xdr:row>0</xdr:row>
      <xdr:rowOff>304800</xdr:rowOff>
    </xdr:to>
    <xdr:sp macro="" textlink="">
      <xdr:nvSpPr>
        <xdr:cNvPr id="3" name="TextBox 2"/>
        <xdr:cNvSpPr txBox="1"/>
      </xdr:nvSpPr>
      <xdr:spPr>
        <a:xfrm>
          <a:off x="5751195" y="0"/>
          <a:ext cx="335336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400">
              <a:latin typeface="TH SarabunPSK" pitchFamily="34" charset="-34"/>
              <a:cs typeface="TH SarabunPSK" pitchFamily="34" charset="-34"/>
            </a:rPr>
            <a:t>41</a:t>
          </a:r>
        </a:p>
      </xdr:txBody>
    </xdr:sp>
    <xdr:clientData/>
  </xdr:twoCellAnchor>
  <xdr:twoCellAnchor>
    <xdr:from>
      <xdr:col>0</xdr:col>
      <xdr:colOff>0</xdr:colOff>
      <xdr:row>33</xdr:row>
      <xdr:rowOff>142875</xdr:rowOff>
    </xdr:from>
    <xdr:to>
      <xdr:col>6</xdr:col>
      <xdr:colOff>547252</xdr:colOff>
      <xdr:row>34</xdr:row>
      <xdr:rowOff>158012</xdr:rowOff>
    </xdr:to>
    <xdr:sp macro="" textlink="">
      <xdr:nvSpPr>
        <xdr:cNvPr id="4" name="TextBox 3"/>
        <xdr:cNvSpPr txBox="1"/>
      </xdr:nvSpPr>
      <xdr:spPr>
        <a:xfrm>
          <a:off x="0" y="9696450"/>
          <a:ext cx="6033652" cy="3008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th-TH" sz="1400">
              <a:latin typeface="TH SarabunPSK" panose="020B0500040200020003" pitchFamily="34" charset="-34"/>
              <a:cs typeface="TH SarabunPSK" panose="020B0500040200020003" pitchFamily="34" charset="-34"/>
            </a:rPr>
            <a:t>เงินทดแทน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512445</xdr:colOff>
      <xdr:row>0</xdr:row>
      <xdr:rowOff>57150</xdr:rowOff>
    </xdr:from>
    <xdr:to>
      <xdr:col>6</xdr:col>
      <xdr:colOff>736159</xdr:colOff>
      <xdr:row>0</xdr:row>
      <xdr:rowOff>271543</xdr:rowOff>
    </xdr:to>
    <xdr:sp macro="" textlink="">
      <xdr:nvSpPr>
        <xdr:cNvPr id="2" name="วงรี 1"/>
        <xdr:cNvSpPr/>
      </xdr:nvSpPr>
      <xdr:spPr>
        <a:xfrm>
          <a:off x="5655945" y="57150"/>
          <a:ext cx="223714" cy="214393"/>
        </a:xfrm>
        <a:prstGeom prst="ellipse">
          <a:avLst/>
        </a:prstGeom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endParaRPr lang="en-US"/>
        </a:p>
      </xdr:txBody>
    </xdr:sp>
    <xdr:clientData/>
  </xdr:twoCellAnchor>
  <xdr:twoCellAnchor>
    <xdr:from>
      <xdr:col>6</xdr:col>
      <xdr:colOff>483871</xdr:colOff>
      <xdr:row>0</xdr:row>
      <xdr:rowOff>9525</xdr:rowOff>
    </xdr:from>
    <xdr:to>
      <xdr:col>7</xdr:col>
      <xdr:colOff>83821</xdr:colOff>
      <xdr:row>1</xdr:row>
      <xdr:rowOff>0</xdr:rowOff>
    </xdr:to>
    <xdr:sp macro="" textlink="">
      <xdr:nvSpPr>
        <xdr:cNvPr id="3" name="TextBox 2"/>
        <xdr:cNvSpPr txBox="1"/>
      </xdr:nvSpPr>
      <xdr:spPr>
        <a:xfrm>
          <a:off x="5627371" y="9525"/>
          <a:ext cx="34290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400">
              <a:latin typeface="TH SarabunPSK" pitchFamily="34" charset="-34"/>
              <a:cs typeface="TH SarabunPSK" pitchFamily="34" charset="-34"/>
            </a:rPr>
            <a:t>42</a:t>
          </a:r>
        </a:p>
      </xdr:txBody>
    </xdr:sp>
    <xdr:clientData/>
  </xdr:twoCellAnchor>
  <xdr:twoCellAnchor>
    <xdr:from>
      <xdr:col>0</xdr:col>
      <xdr:colOff>0</xdr:colOff>
      <xdr:row>34</xdr:row>
      <xdr:rowOff>161925</xdr:rowOff>
    </xdr:from>
    <xdr:to>
      <xdr:col>6</xdr:col>
      <xdr:colOff>735872</xdr:colOff>
      <xdr:row>35</xdr:row>
      <xdr:rowOff>196112</xdr:rowOff>
    </xdr:to>
    <xdr:sp macro="" textlink="">
      <xdr:nvSpPr>
        <xdr:cNvPr id="4" name="TextBox 3"/>
        <xdr:cNvSpPr txBox="1"/>
      </xdr:nvSpPr>
      <xdr:spPr>
        <a:xfrm>
          <a:off x="0" y="9753600"/>
          <a:ext cx="5879372" cy="3008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th-TH" sz="1400">
              <a:latin typeface="TH SarabunPSK" panose="020B0500040200020003" pitchFamily="34" charset="-34"/>
              <a:cs typeface="TH SarabunPSK" panose="020B0500040200020003" pitchFamily="34" charset="-34"/>
            </a:rPr>
            <a:t>เงินทดแทน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512445</xdr:colOff>
      <xdr:row>0</xdr:row>
      <xdr:rowOff>57150</xdr:rowOff>
    </xdr:from>
    <xdr:to>
      <xdr:col>6</xdr:col>
      <xdr:colOff>736159</xdr:colOff>
      <xdr:row>0</xdr:row>
      <xdr:rowOff>271543</xdr:rowOff>
    </xdr:to>
    <xdr:sp macro="" textlink="">
      <xdr:nvSpPr>
        <xdr:cNvPr id="2" name="วงรี 1"/>
        <xdr:cNvSpPr/>
      </xdr:nvSpPr>
      <xdr:spPr>
        <a:xfrm>
          <a:off x="5655945" y="57150"/>
          <a:ext cx="223714" cy="214393"/>
        </a:xfrm>
        <a:prstGeom prst="ellipse">
          <a:avLst/>
        </a:prstGeom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endParaRPr lang="en-US"/>
        </a:p>
      </xdr:txBody>
    </xdr:sp>
    <xdr:clientData/>
  </xdr:twoCellAnchor>
  <xdr:twoCellAnchor>
    <xdr:from>
      <xdr:col>6</xdr:col>
      <xdr:colOff>483871</xdr:colOff>
      <xdr:row>0</xdr:row>
      <xdr:rowOff>9525</xdr:rowOff>
    </xdr:from>
    <xdr:to>
      <xdr:col>7</xdr:col>
      <xdr:colOff>83821</xdr:colOff>
      <xdr:row>1</xdr:row>
      <xdr:rowOff>0</xdr:rowOff>
    </xdr:to>
    <xdr:sp macro="" textlink="">
      <xdr:nvSpPr>
        <xdr:cNvPr id="3" name="TextBox 2"/>
        <xdr:cNvSpPr txBox="1"/>
      </xdr:nvSpPr>
      <xdr:spPr>
        <a:xfrm>
          <a:off x="5627371" y="9525"/>
          <a:ext cx="34290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400">
              <a:latin typeface="TH SarabunPSK" pitchFamily="34" charset="-34"/>
              <a:cs typeface="TH SarabunPSK" pitchFamily="34" charset="-34"/>
            </a:rPr>
            <a:t>43</a:t>
          </a:r>
        </a:p>
      </xdr:txBody>
    </xdr:sp>
    <xdr:clientData/>
  </xdr:twoCellAnchor>
  <xdr:twoCellAnchor>
    <xdr:from>
      <xdr:col>0</xdr:col>
      <xdr:colOff>0</xdr:colOff>
      <xdr:row>35</xdr:row>
      <xdr:rowOff>142875</xdr:rowOff>
    </xdr:from>
    <xdr:to>
      <xdr:col>6</xdr:col>
      <xdr:colOff>718743</xdr:colOff>
      <xdr:row>36</xdr:row>
      <xdr:rowOff>177062</xdr:rowOff>
    </xdr:to>
    <xdr:sp macro="" textlink="">
      <xdr:nvSpPr>
        <xdr:cNvPr id="4" name="TextBox 3"/>
        <xdr:cNvSpPr txBox="1"/>
      </xdr:nvSpPr>
      <xdr:spPr>
        <a:xfrm>
          <a:off x="0" y="9925050"/>
          <a:ext cx="5862243" cy="3008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th-TH" sz="1400">
              <a:latin typeface="TH SarabunPSK" panose="020B0500040200020003" pitchFamily="34" charset="-34"/>
              <a:cs typeface="TH SarabunPSK" panose="020B0500040200020003" pitchFamily="34" charset="-34"/>
            </a:rPr>
            <a:t>เงินทดแทน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89999084444715716"/>
  </sheetPr>
  <dimension ref="A1:J57"/>
  <sheetViews>
    <sheetView tabSelected="1" topLeftCell="A32" zoomScale="130" zoomScaleNormal="130" workbookViewId="0">
      <selection activeCell="E22" sqref="E22"/>
    </sheetView>
  </sheetViews>
  <sheetFormatPr defaultRowHeight="25.5" customHeight="1" x14ac:dyDescent="0.3"/>
  <cols>
    <col min="1" max="1" width="11.7109375" style="2" customWidth="1"/>
    <col min="2" max="2" width="5.7109375" style="2" customWidth="1"/>
    <col min="3" max="3" width="8.7109375" style="2" customWidth="1"/>
    <col min="4" max="4" width="11.7109375" style="2" customWidth="1"/>
    <col min="5" max="5" width="8.7109375" style="2" customWidth="1"/>
    <col min="6" max="6" width="9.7109375" style="2" customWidth="1"/>
    <col min="7" max="7" width="8.7109375" style="2" customWidth="1"/>
    <col min="8" max="16384" width="9.140625" style="2"/>
  </cols>
  <sheetData>
    <row r="1" spans="1:10" ht="19.5" x14ac:dyDescent="0.3">
      <c r="A1" s="1" t="s">
        <v>0</v>
      </c>
      <c r="B1" s="1"/>
      <c r="C1" s="1"/>
      <c r="D1" s="1"/>
      <c r="E1" s="1"/>
      <c r="F1" s="1"/>
      <c r="G1" s="1"/>
    </row>
    <row r="2" spans="1:10" ht="18" customHeight="1" x14ac:dyDescent="0.3">
      <c r="A2" s="3" t="s">
        <v>1</v>
      </c>
      <c r="B2" s="3"/>
      <c r="C2" s="3"/>
      <c r="D2" s="3"/>
      <c r="E2" s="3"/>
      <c r="F2" s="3"/>
      <c r="G2" s="3"/>
    </row>
    <row r="3" spans="1:10" ht="18" customHeight="1" x14ac:dyDescent="0.3">
      <c r="A3" s="4" t="s">
        <v>2</v>
      </c>
      <c r="B3" s="5" t="s">
        <v>3</v>
      </c>
      <c r="C3" s="5"/>
      <c r="D3" s="5"/>
      <c r="E3" s="5"/>
      <c r="F3" s="5"/>
      <c r="G3" s="6"/>
    </row>
    <row r="4" spans="1:10" ht="19.5" x14ac:dyDescent="0.3">
      <c r="A4" s="7"/>
      <c r="B4" s="4" t="s">
        <v>4</v>
      </c>
      <c r="C4" s="4" t="s">
        <v>5</v>
      </c>
      <c r="D4" s="8" t="s">
        <v>6</v>
      </c>
      <c r="E4" s="8" t="s">
        <v>7</v>
      </c>
      <c r="F4" s="8" t="s">
        <v>7</v>
      </c>
      <c r="G4" s="9" t="s">
        <v>8</v>
      </c>
    </row>
    <row r="5" spans="1:10" ht="19.5" x14ac:dyDescent="0.3">
      <c r="A5" s="10"/>
      <c r="B5" s="10"/>
      <c r="C5" s="10"/>
      <c r="D5" s="11" t="s">
        <v>9</v>
      </c>
      <c r="E5" s="11" t="s">
        <v>10</v>
      </c>
      <c r="F5" s="11" t="s">
        <v>11</v>
      </c>
      <c r="G5" s="11" t="s">
        <v>12</v>
      </c>
    </row>
    <row r="6" spans="1:10" ht="19.5" hidden="1" x14ac:dyDescent="0.3">
      <c r="A6" s="12">
        <v>2541</v>
      </c>
      <c r="B6" s="13">
        <v>790</v>
      </c>
      <c r="C6" s="13">
        <v>19</v>
      </c>
      <c r="D6" s="13">
        <v>3714</v>
      </c>
      <c r="E6" s="13">
        <v>55489</v>
      </c>
      <c r="F6" s="13">
        <v>126486</v>
      </c>
      <c r="G6" s="14">
        <f t="shared" ref="G6:G30" si="0">SUM(B6:F6)</f>
        <v>186498</v>
      </c>
    </row>
    <row r="7" spans="1:10" ht="19.5" hidden="1" x14ac:dyDescent="0.3">
      <c r="A7" s="15">
        <v>2542</v>
      </c>
      <c r="B7" s="16">
        <v>611</v>
      </c>
      <c r="C7" s="16">
        <v>12</v>
      </c>
      <c r="D7" s="16">
        <v>3396</v>
      </c>
      <c r="E7" s="16">
        <v>50239</v>
      </c>
      <c r="F7" s="16">
        <v>117739</v>
      </c>
      <c r="G7" s="17">
        <f t="shared" si="0"/>
        <v>171997</v>
      </c>
    </row>
    <row r="8" spans="1:10" ht="19.5" hidden="1" x14ac:dyDescent="0.3">
      <c r="A8" s="15">
        <v>2543</v>
      </c>
      <c r="B8" s="16">
        <v>620</v>
      </c>
      <c r="C8" s="16">
        <v>16</v>
      </c>
      <c r="D8" s="16">
        <v>3516</v>
      </c>
      <c r="E8" s="16">
        <v>48338</v>
      </c>
      <c r="F8" s="16">
        <v>127076</v>
      </c>
      <c r="G8" s="17">
        <f t="shared" si="0"/>
        <v>179566</v>
      </c>
    </row>
    <row r="9" spans="1:10" ht="17.25" hidden="1" customHeight="1" x14ac:dyDescent="0.3">
      <c r="A9" s="15">
        <v>2544</v>
      </c>
      <c r="B9" s="16">
        <v>607</v>
      </c>
      <c r="C9" s="16">
        <v>20</v>
      </c>
      <c r="D9" s="16">
        <v>3510</v>
      </c>
      <c r="E9" s="16">
        <v>48077</v>
      </c>
      <c r="F9" s="16">
        <v>137407</v>
      </c>
      <c r="G9" s="17">
        <f t="shared" si="0"/>
        <v>189621</v>
      </c>
      <c r="H9" s="18"/>
      <c r="I9" s="18"/>
      <c r="J9" s="18"/>
    </row>
    <row r="10" spans="1:10" ht="17.25" hidden="1" customHeight="1" x14ac:dyDescent="0.3">
      <c r="A10" s="15">
        <v>2545</v>
      </c>
      <c r="B10" s="16">
        <v>650</v>
      </c>
      <c r="C10" s="16">
        <v>14</v>
      </c>
      <c r="D10" s="16">
        <v>3424</v>
      </c>
      <c r="E10" s="16">
        <v>49012</v>
      </c>
      <c r="F10" s="16">
        <v>137879</v>
      </c>
      <c r="G10" s="17">
        <f t="shared" si="0"/>
        <v>190979</v>
      </c>
      <c r="I10" s="18"/>
      <c r="J10" s="18"/>
    </row>
    <row r="11" spans="1:10" ht="17.25" hidden="1" customHeight="1" x14ac:dyDescent="0.3">
      <c r="A11" s="15">
        <v>2546</v>
      </c>
      <c r="B11" s="16">
        <v>787</v>
      </c>
      <c r="C11" s="16">
        <v>17</v>
      </c>
      <c r="D11" s="16">
        <v>3821</v>
      </c>
      <c r="E11" s="16">
        <v>52364</v>
      </c>
      <c r="F11" s="16">
        <v>153684</v>
      </c>
      <c r="G11" s="17">
        <f t="shared" si="0"/>
        <v>210673</v>
      </c>
      <c r="I11" s="18"/>
      <c r="J11" s="18"/>
    </row>
    <row r="12" spans="1:10" ht="17.25" hidden="1" customHeight="1" x14ac:dyDescent="0.3">
      <c r="A12" s="15">
        <v>2547</v>
      </c>
      <c r="B12" s="16">
        <v>861</v>
      </c>
      <c r="C12" s="16">
        <v>23</v>
      </c>
      <c r="D12" s="16">
        <v>3775</v>
      </c>
      <c r="E12" s="16">
        <v>52893</v>
      </c>
      <c r="F12" s="16">
        <v>157982</v>
      </c>
      <c r="G12" s="17">
        <f t="shared" si="0"/>
        <v>215534</v>
      </c>
      <c r="I12" s="18"/>
      <c r="J12" s="18"/>
    </row>
    <row r="13" spans="1:10" ht="17.25" hidden="1" customHeight="1" x14ac:dyDescent="0.3">
      <c r="A13" s="15">
        <v>2548</v>
      </c>
      <c r="B13" s="16">
        <v>1444</v>
      </c>
      <c r="C13" s="16">
        <v>19</v>
      </c>
      <c r="D13" s="16">
        <v>3425</v>
      </c>
      <c r="E13" s="16">
        <v>53641</v>
      </c>
      <c r="F13" s="16">
        <v>155706</v>
      </c>
      <c r="G13" s="16">
        <f t="shared" si="0"/>
        <v>214235</v>
      </c>
      <c r="I13" s="18"/>
      <c r="J13" s="18"/>
    </row>
    <row r="14" spans="1:10" ht="17.25" hidden="1" customHeight="1" x14ac:dyDescent="0.3">
      <c r="A14" s="19">
        <v>2549</v>
      </c>
      <c r="B14" s="17">
        <v>808</v>
      </c>
      <c r="C14" s="17">
        <v>21</v>
      </c>
      <c r="D14" s="17">
        <v>3413</v>
      </c>
      <c r="E14" s="17">
        <v>51901</v>
      </c>
      <c r="F14" s="17">
        <v>148114</v>
      </c>
      <c r="G14" s="17">
        <f t="shared" si="0"/>
        <v>204257</v>
      </c>
      <c r="I14" s="18"/>
      <c r="J14" s="18"/>
    </row>
    <row r="15" spans="1:10" ht="17.25" hidden="1" customHeight="1" x14ac:dyDescent="0.3">
      <c r="A15" s="19">
        <v>2550</v>
      </c>
      <c r="B15" s="17">
        <v>741</v>
      </c>
      <c r="C15" s="17">
        <v>16</v>
      </c>
      <c r="D15" s="17">
        <v>3259</v>
      </c>
      <c r="E15" s="17">
        <v>50525</v>
      </c>
      <c r="F15" s="17">
        <v>144111</v>
      </c>
      <c r="G15" s="17">
        <f t="shared" si="0"/>
        <v>198652</v>
      </c>
      <c r="I15" s="18"/>
      <c r="J15" s="18"/>
    </row>
    <row r="16" spans="1:10" ht="17.25" hidden="1" customHeight="1" x14ac:dyDescent="0.3">
      <c r="A16" s="20">
        <v>2551</v>
      </c>
      <c r="B16" s="21">
        <v>613</v>
      </c>
      <c r="C16" s="21">
        <v>15</v>
      </c>
      <c r="D16" s="21">
        <v>3096</v>
      </c>
      <c r="E16" s="21">
        <v>45719</v>
      </c>
      <c r="F16" s="21">
        <v>127059</v>
      </c>
      <c r="G16" s="21">
        <f t="shared" si="0"/>
        <v>176502</v>
      </c>
      <c r="I16" s="18"/>
      <c r="J16" s="18"/>
    </row>
    <row r="17" spans="1:10" ht="17.25" hidden="1" customHeight="1" x14ac:dyDescent="0.3">
      <c r="A17" s="20">
        <v>2552</v>
      </c>
      <c r="B17" s="21">
        <v>597</v>
      </c>
      <c r="C17" s="21">
        <v>8</v>
      </c>
      <c r="D17" s="21">
        <v>2383</v>
      </c>
      <c r="E17" s="21">
        <v>39850</v>
      </c>
      <c r="F17" s="21">
        <v>106598</v>
      </c>
      <c r="G17" s="21">
        <f t="shared" si="0"/>
        <v>149436</v>
      </c>
      <c r="I17" s="18"/>
      <c r="J17" s="18"/>
    </row>
    <row r="18" spans="1:10" ht="17.25" hidden="1" customHeight="1" x14ac:dyDescent="0.3">
      <c r="A18" s="19">
        <v>2553</v>
      </c>
      <c r="B18" s="21">
        <v>619</v>
      </c>
      <c r="C18" s="21">
        <v>11</v>
      </c>
      <c r="D18" s="21">
        <v>2149</v>
      </c>
      <c r="E18" s="21">
        <v>39919</v>
      </c>
      <c r="F18" s="21">
        <v>103813</v>
      </c>
      <c r="G18" s="21">
        <f t="shared" si="0"/>
        <v>146511</v>
      </c>
      <c r="I18" s="18"/>
      <c r="J18" s="18"/>
    </row>
    <row r="19" spans="1:10" ht="17.25" hidden="1" customHeight="1" x14ac:dyDescent="0.3">
      <c r="A19" s="20">
        <v>2554</v>
      </c>
      <c r="B19" s="21">
        <v>590</v>
      </c>
      <c r="C19" s="21">
        <v>4</v>
      </c>
      <c r="D19" s="21">
        <v>1630</v>
      </c>
      <c r="E19" s="21">
        <v>35709</v>
      </c>
      <c r="F19" s="21">
        <v>91699</v>
      </c>
      <c r="G19" s="21">
        <f t="shared" si="0"/>
        <v>129632</v>
      </c>
      <c r="I19" s="18"/>
      <c r="J19" s="18"/>
    </row>
    <row r="20" spans="1:10" ht="17.25" hidden="1" customHeight="1" x14ac:dyDescent="0.3">
      <c r="A20" s="20">
        <v>2555</v>
      </c>
      <c r="B20" s="21">
        <v>717</v>
      </c>
      <c r="C20" s="21">
        <v>19</v>
      </c>
      <c r="D20" s="21">
        <v>1818</v>
      </c>
      <c r="E20" s="21">
        <v>36166</v>
      </c>
      <c r="F20" s="21">
        <v>93106</v>
      </c>
      <c r="G20" s="21">
        <f t="shared" si="0"/>
        <v>131826</v>
      </c>
      <c r="I20" s="18"/>
      <c r="J20" s="18"/>
    </row>
    <row r="21" spans="1:10" ht="17.25" hidden="1" customHeight="1" x14ac:dyDescent="0.3">
      <c r="A21" s="20">
        <v>2556</v>
      </c>
      <c r="B21" s="21">
        <v>635</v>
      </c>
      <c r="C21" s="21">
        <v>28</v>
      </c>
      <c r="D21" s="21">
        <v>3036</v>
      </c>
      <c r="E21" s="21">
        <v>31419</v>
      </c>
      <c r="F21" s="21">
        <v>76776</v>
      </c>
      <c r="G21" s="21">
        <f t="shared" si="0"/>
        <v>111894</v>
      </c>
      <c r="I21" s="18"/>
      <c r="J21" s="18"/>
    </row>
    <row r="22" spans="1:10" ht="17.25" hidden="1" customHeight="1" x14ac:dyDescent="0.3">
      <c r="A22" s="20">
        <v>2557</v>
      </c>
      <c r="B22" s="21">
        <v>603</v>
      </c>
      <c r="C22" s="21">
        <v>11</v>
      </c>
      <c r="D22" s="21">
        <v>1463</v>
      </c>
      <c r="E22" s="21">
        <v>29254</v>
      </c>
      <c r="F22" s="21">
        <v>68903</v>
      </c>
      <c r="G22" s="21">
        <f t="shared" si="0"/>
        <v>100234</v>
      </c>
      <c r="I22" s="18"/>
      <c r="J22" s="18"/>
    </row>
    <row r="23" spans="1:10" ht="17.25" customHeight="1" x14ac:dyDescent="0.3">
      <c r="A23" s="20">
        <v>2558</v>
      </c>
      <c r="B23" s="21">
        <v>575</v>
      </c>
      <c r="C23" s="21">
        <v>6</v>
      </c>
      <c r="D23" s="21">
        <v>1324</v>
      </c>
      <c r="E23" s="21">
        <v>27845</v>
      </c>
      <c r="F23" s="21">
        <v>65924</v>
      </c>
      <c r="G23" s="21">
        <f t="shared" si="0"/>
        <v>95674</v>
      </c>
      <c r="I23" s="18"/>
      <c r="J23" s="18"/>
    </row>
    <row r="24" spans="1:10" ht="17.25" customHeight="1" x14ac:dyDescent="0.3">
      <c r="A24" s="20">
        <v>2559</v>
      </c>
      <c r="B24" s="21">
        <v>584</v>
      </c>
      <c r="C24" s="21">
        <v>12</v>
      </c>
      <c r="D24" s="21">
        <v>1290</v>
      </c>
      <c r="E24" s="21">
        <v>26829</v>
      </c>
      <c r="F24" s="21">
        <v>60773</v>
      </c>
      <c r="G24" s="21">
        <f t="shared" si="0"/>
        <v>89488</v>
      </c>
      <c r="I24" s="18"/>
      <c r="J24" s="18"/>
    </row>
    <row r="25" spans="1:10" ht="17.25" customHeight="1" x14ac:dyDescent="0.3">
      <c r="A25" s="20">
        <v>2560</v>
      </c>
      <c r="B25" s="21">
        <v>570</v>
      </c>
      <c r="C25" s="21">
        <v>17</v>
      </c>
      <c r="D25" s="21">
        <v>1200</v>
      </c>
      <c r="E25" s="21">
        <v>25820</v>
      </c>
      <c r="F25" s="21">
        <v>58671</v>
      </c>
      <c r="G25" s="21">
        <f t="shared" si="0"/>
        <v>86278</v>
      </c>
      <c r="I25" s="18"/>
      <c r="J25" s="18"/>
    </row>
    <row r="26" spans="1:10" ht="17.25" customHeight="1" x14ac:dyDescent="0.3">
      <c r="A26" s="20">
        <v>2561</v>
      </c>
      <c r="B26" s="21">
        <v>568</v>
      </c>
      <c r="C26" s="21">
        <v>13</v>
      </c>
      <c r="D26" s="21">
        <v>1226</v>
      </c>
      <c r="E26" s="21">
        <v>25303</v>
      </c>
      <c r="F26" s="21">
        <v>59187</v>
      </c>
      <c r="G26" s="21">
        <f t="shared" si="0"/>
        <v>86297</v>
      </c>
      <c r="I26" s="18"/>
      <c r="J26" s="18"/>
    </row>
    <row r="27" spans="1:10" ht="17.25" customHeight="1" x14ac:dyDescent="0.3">
      <c r="A27" s="20">
        <v>2562</v>
      </c>
      <c r="B27" s="21">
        <v>639</v>
      </c>
      <c r="C27" s="21">
        <v>13</v>
      </c>
      <c r="D27" s="21">
        <v>1211</v>
      </c>
      <c r="E27" s="21">
        <v>27812</v>
      </c>
      <c r="F27" s="21">
        <v>65231</v>
      </c>
      <c r="G27" s="21">
        <f t="shared" si="0"/>
        <v>94906</v>
      </c>
      <c r="I27" s="18"/>
      <c r="J27" s="18"/>
    </row>
    <row r="28" spans="1:10" ht="17.25" customHeight="1" x14ac:dyDescent="0.3">
      <c r="A28" s="20">
        <v>2563</v>
      </c>
      <c r="B28" s="21">
        <v>588</v>
      </c>
      <c r="C28" s="21">
        <v>14</v>
      </c>
      <c r="D28" s="21">
        <v>1005</v>
      </c>
      <c r="E28" s="21">
        <v>25682</v>
      </c>
      <c r="F28" s="21">
        <v>58244</v>
      </c>
      <c r="G28" s="21">
        <f t="shared" si="0"/>
        <v>85533</v>
      </c>
      <c r="I28" s="18"/>
      <c r="J28" s="18"/>
    </row>
    <row r="29" spans="1:10" ht="17.25" customHeight="1" x14ac:dyDescent="0.3">
      <c r="A29" s="20">
        <v>2564</v>
      </c>
      <c r="B29" s="21">
        <v>602</v>
      </c>
      <c r="C29" s="21">
        <v>9</v>
      </c>
      <c r="D29" s="21">
        <v>797</v>
      </c>
      <c r="E29" s="21">
        <v>23087</v>
      </c>
      <c r="F29" s="21">
        <v>53750</v>
      </c>
      <c r="G29" s="21">
        <f t="shared" si="0"/>
        <v>78245</v>
      </c>
      <c r="I29" s="18"/>
      <c r="J29" s="18"/>
    </row>
    <row r="30" spans="1:10" ht="17.25" customHeight="1" x14ac:dyDescent="0.3">
      <c r="A30" s="20">
        <v>2565</v>
      </c>
      <c r="B30" s="21">
        <v>594</v>
      </c>
      <c r="C30" s="21">
        <v>16</v>
      </c>
      <c r="D30" s="21">
        <v>871</v>
      </c>
      <c r="E30" s="21">
        <v>23631</v>
      </c>
      <c r="F30" s="21">
        <v>51366</v>
      </c>
      <c r="G30" s="21">
        <f t="shared" si="0"/>
        <v>76478</v>
      </c>
      <c r="I30" s="18"/>
      <c r="J30" s="18"/>
    </row>
    <row r="31" spans="1:10" ht="17.25" customHeight="1" x14ac:dyDescent="0.3">
      <c r="A31" s="22">
        <v>2566</v>
      </c>
      <c r="B31" s="17">
        <v>610</v>
      </c>
      <c r="C31" s="17">
        <v>14</v>
      </c>
      <c r="D31" s="17">
        <v>892</v>
      </c>
      <c r="E31" s="17">
        <v>23948</v>
      </c>
      <c r="F31" s="17">
        <v>56045</v>
      </c>
      <c r="G31" s="17">
        <f>SUM(B31:F31)</f>
        <v>81509</v>
      </c>
      <c r="I31" s="18"/>
      <c r="J31" s="18"/>
    </row>
    <row r="32" spans="1:10" ht="17.25" customHeight="1" x14ac:dyDescent="0.3">
      <c r="A32" s="23">
        <v>2567</v>
      </c>
      <c r="B32" s="24">
        <v>595</v>
      </c>
      <c r="C32" s="24">
        <v>16</v>
      </c>
      <c r="D32" s="24">
        <v>925</v>
      </c>
      <c r="E32" s="24">
        <v>24127</v>
      </c>
      <c r="F32" s="24">
        <v>62065</v>
      </c>
      <c r="G32" s="24">
        <f>SUM(B32:F32)</f>
        <v>87728</v>
      </c>
      <c r="I32" s="18"/>
      <c r="J32" s="18"/>
    </row>
    <row r="33" spans="1:9" ht="15" customHeight="1" x14ac:dyDescent="0.3">
      <c r="A33" s="25">
        <v>2568</v>
      </c>
      <c r="B33" s="26"/>
      <c r="C33" s="26"/>
      <c r="D33" s="26"/>
      <c r="E33" s="26"/>
      <c r="F33" s="26"/>
      <c r="G33" s="26"/>
    </row>
    <row r="34" spans="1:9" ht="17.25" customHeight="1" x14ac:dyDescent="0.3">
      <c r="A34" s="27" t="s">
        <v>13</v>
      </c>
      <c r="B34" s="28">
        <v>38</v>
      </c>
      <c r="C34" s="28">
        <v>2</v>
      </c>
      <c r="D34" s="28">
        <v>133</v>
      </c>
      <c r="E34" s="28">
        <v>1758</v>
      </c>
      <c r="F34" s="29">
        <v>5287</v>
      </c>
      <c r="G34" s="29">
        <f t="shared" ref="G34:G40" si="1">SUM(B34:F34)</f>
        <v>7218</v>
      </c>
    </row>
    <row r="35" spans="1:9" ht="17.25" customHeight="1" x14ac:dyDescent="0.3">
      <c r="A35" s="27" t="s">
        <v>14</v>
      </c>
      <c r="B35" s="28">
        <v>46</v>
      </c>
      <c r="C35" s="28">
        <v>6</v>
      </c>
      <c r="D35" s="28">
        <v>128</v>
      </c>
      <c r="E35" s="28">
        <v>1710</v>
      </c>
      <c r="F35" s="29">
        <v>5211</v>
      </c>
      <c r="G35" s="29">
        <f t="shared" si="1"/>
        <v>7101</v>
      </c>
    </row>
    <row r="36" spans="1:9" ht="17.25" customHeight="1" x14ac:dyDescent="0.3">
      <c r="A36" s="27" t="s">
        <v>15</v>
      </c>
      <c r="B36" s="28">
        <v>43</v>
      </c>
      <c r="C36" s="28">
        <v>2</v>
      </c>
      <c r="D36" s="28">
        <v>145</v>
      </c>
      <c r="E36" s="28">
        <v>1783</v>
      </c>
      <c r="F36" s="28">
        <v>5722</v>
      </c>
      <c r="G36" s="29">
        <f t="shared" si="1"/>
        <v>7695</v>
      </c>
    </row>
    <row r="37" spans="1:9" ht="17.25" customHeight="1" x14ac:dyDescent="0.3">
      <c r="A37" s="27" t="s">
        <v>16</v>
      </c>
      <c r="B37" s="28">
        <v>87</v>
      </c>
      <c r="C37" s="28">
        <v>0</v>
      </c>
      <c r="D37" s="28">
        <v>101</v>
      </c>
      <c r="E37" s="28">
        <v>1283</v>
      </c>
      <c r="F37" s="28">
        <v>4144</v>
      </c>
      <c r="G37" s="29">
        <f t="shared" si="1"/>
        <v>5615</v>
      </c>
    </row>
    <row r="38" spans="1:9" ht="17.25" customHeight="1" x14ac:dyDescent="0.3">
      <c r="A38" s="27" t="s">
        <v>17</v>
      </c>
      <c r="B38" s="28">
        <v>107</v>
      </c>
      <c r="C38" s="28">
        <v>1</v>
      </c>
      <c r="D38" s="28">
        <v>94</v>
      </c>
      <c r="E38" s="28">
        <v>1748</v>
      </c>
      <c r="F38" s="28">
        <v>5643</v>
      </c>
      <c r="G38" s="29">
        <f t="shared" si="1"/>
        <v>7593</v>
      </c>
    </row>
    <row r="39" spans="1:9" ht="17.25" customHeight="1" x14ac:dyDescent="0.3">
      <c r="A39" s="27" t="s">
        <v>18</v>
      </c>
      <c r="B39" s="28">
        <v>65</v>
      </c>
      <c r="C39" s="28">
        <v>2</v>
      </c>
      <c r="D39" s="28">
        <v>60</v>
      </c>
      <c r="E39" s="28">
        <v>1979</v>
      </c>
      <c r="F39" s="28">
        <v>6079</v>
      </c>
      <c r="G39" s="29">
        <f t="shared" si="1"/>
        <v>8185</v>
      </c>
    </row>
    <row r="40" spans="1:9" ht="17.25" customHeight="1" x14ac:dyDescent="0.3">
      <c r="A40" s="30" t="s">
        <v>19</v>
      </c>
      <c r="B40" s="31">
        <v>72</v>
      </c>
      <c r="C40" s="31">
        <v>4</v>
      </c>
      <c r="D40" s="31">
        <v>66</v>
      </c>
      <c r="E40" s="31">
        <v>1938</v>
      </c>
      <c r="F40" s="31">
        <v>6538</v>
      </c>
      <c r="G40" s="29">
        <f t="shared" si="1"/>
        <v>8618</v>
      </c>
    </row>
    <row r="41" spans="1:9" ht="17.25" customHeight="1" x14ac:dyDescent="0.3">
      <c r="A41" s="32" t="s">
        <v>20</v>
      </c>
      <c r="B41" s="33">
        <v>69</v>
      </c>
      <c r="C41" s="33">
        <v>0</v>
      </c>
      <c r="D41" s="33">
        <v>29</v>
      </c>
      <c r="E41" s="33">
        <v>1869</v>
      </c>
      <c r="F41" s="33">
        <v>6344</v>
      </c>
      <c r="G41" s="29">
        <f>SUM(B41:F41)</f>
        <v>8311</v>
      </c>
    </row>
    <row r="42" spans="1:9" ht="17.25" customHeight="1" x14ac:dyDescent="0.3">
      <c r="A42" s="30" t="s">
        <v>21</v>
      </c>
      <c r="B42" s="31">
        <v>63</v>
      </c>
      <c r="C42" s="31">
        <v>1</v>
      </c>
      <c r="D42" s="31">
        <v>21</v>
      </c>
      <c r="E42" s="31">
        <v>1714</v>
      </c>
      <c r="F42" s="31">
        <v>6352</v>
      </c>
      <c r="G42" s="29">
        <f>SUM(B42:F42)</f>
        <v>8151</v>
      </c>
    </row>
    <row r="43" spans="1:9" ht="17.25" customHeight="1" x14ac:dyDescent="0.3">
      <c r="A43" s="30" t="s">
        <v>22</v>
      </c>
      <c r="B43" s="31">
        <v>49</v>
      </c>
      <c r="C43" s="31">
        <v>1</v>
      </c>
      <c r="D43" s="31">
        <v>14</v>
      </c>
      <c r="E43" s="31">
        <v>1688</v>
      </c>
      <c r="F43" s="31">
        <v>5936</v>
      </c>
      <c r="G43" s="29">
        <f>SUM(B43:F43)</f>
        <v>7688</v>
      </c>
      <c r="I43" s="34"/>
    </row>
    <row r="44" spans="1:9" ht="17.25" customHeight="1" x14ac:dyDescent="0.3">
      <c r="A44" s="30" t="s">
        <v>23</v>
      </c>
      <c r="B44" s="31">
        <v>40</v>
      </c>
      <c r="C44" s="31">
        <v>0</v>
      </c>
      <c r="D44" s="31">
        <v>7</v>
      </c>
      <c r="E44" s="31">
        <v>1406</v>
      </c>
      <c r="F44" s="31">
        <v>5469</v>
      </c>
      <c r="G44" s="29">
        <f>SUM(B44:F44)</f>
        <v>6922</v>
      </c>
    </row>
    <row r="45" spans="1:9" ht="17.25" customHeight="1" x14ac:dyDescent="0.3">
      <c r="A45" s="35" t="s">
        <v>24</v>
      </c>
      <c r="B45" s="36">
        <v>50</v>
      </c>
      <c r="C45" s="36">
        <v>0</v>
      </c>
      <c r="D45" s="36">
        <v>2</v>
      </c>
      <c r="E45" s="36">
        <v>1154</v>
      </c>
      <c r="F45" s="36">
        <v>6474</v>
      </c>
      <c r="G45" s="29">
        <f>SUM(B45:F45)</f>
        <v>7680</v>
      </c>
    </row>
    <row r="46" spans="1:9" ht="18.75" customHeight="1" x14ac:dyDescent="0.3">
      <c r="A46" s="37" t="s">
        <v>25</v>
      </c>
      <c r="B46" s="38">
        <f t="shared" ref="B46:G46" si="2">SUM(B34:B45)</f>
        <v>729</v>
      </c>
      <c r="C46" s="38">
        <f t="shared" si="2"/>
        <v>19</v>
      </c>
      <c r="D46" s="38">
        <f t="shared" si="2"/>
        <v>800</v>
      </c>
      <c r="E46" s="38">
        <f t="shared" si="2"/>
        <v>20030</v>
      </c>
      <c r="F46" s="38">
        <f t="shared" si="2"/>
        <v>69199</v>
      </c>
      <c r="G46" s="38">
        <f t="shared" si="2"/>
        <v>90777</v>
      </c>
    </row>
    <row r="47" spans="1:9" s="40" customFormat="1" ht="17.25" x14ac:dyDescent="0.3">
      <c r="A47" s="39" t="s">
        <v>26</v>
      </c>
      <c r="D47" s="41" t="s">
        <v>27</v>
      </c>
      <c r="E47" s="41"/>
      <c r="F47" s="41"/>
      <c r="G47" s="41"/>
    </row>
    <row r="48" spans="1:9" s="40" customFormat="1" ht="17.25" customHeight="1" x14ac:dyDescent="0.3">
      <c r="A48" s="42" t="s">
        <v>28</v>
      </c>
    </row>
    <row r="49" spans="1:7" s="40" customFormat="1" ht="17.25" customHeight="1" x14ac:dyDescent="0.3">
      <c r="A49" s="43" t="s">
        <v>29</v>
      </c>
      <c r="B49" s="44"/>
      <c r="C49" s="44"/>
      <c r="D49" s="44"/>
    </row>
    <row r="50" spans="1:7" s="40" customFormat="1" ht="17.25" customHeight="1" x14ac:dyDescent="0.3">
      <c r="A50" s="43"/>
      <c r="B50" s="44"/>
      <c r="C50" s="44"/>
      <c r="D50" s="44"/>
    </row>
    <row r="51" spans="1:7" s="40" customFormat="1" ht="17.25" customHeight="1" x14ac:dyDescent="0.3">
      <c r="A51" s="43"/>
      <c r="B51" s="44"/>
      <c r="C51" s="44"/>
      <c r="D51" s="44"/>
    </row>
    <row r="52" spans="1:7" ht="21.75" hidden="1" customHeight="1" x14ac:dyDescent="0.3"/>
    <row r="53" spans="1:7" ht="17.25" hidden="1" customHeight="1" x14ac:dyDescent="0.3">
      <c r="G53" s="45"/>
    </row>
    <row r="54" spans="1:7" ht="22.5" hidden="1" customHeight="1" x14ac:dyDescent="0.3"/>
    <row r="55" spans="1:7" ht="18.75" hidden="1" customHeight="1" x14ac:dyDescent="0.3"/>
    <row r="56" spans="1:7" ht="18.75" hidden="1" customHeight="1" x14ac:dyDescent="0.3"/>
    <row r="57" spans="1:7" ht="9.75" customHeight="1" x14ac:dyDescent="0.3"/>
  </sheetData>
  <mergeCells count="7">
    <mergeCell ref="D47:G47"/>
    <mergeCell ref="A1:G1"/>
    <mergeCell ref="A2:G2"/>
    <mergeCell ref="A3:A5"/>
    <mergeCell ref="B3:F3"/>
    <mergeCell ref="B4:B5"/>
    <mergeCell ref="C4:C5"/>
  </mergeCells>
  <pageMargins left="0.82677165354330717" right="0.15748031496062992" top="0.19685039370078741" bottom="0.19685039370078741" header="0.19685039370078741" footer="0.15748031496062992"/>
  <pageSetup paperSize="11" scale="9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2:K199"/>
  <sheetViews>
    <sheetView topLeftCell="A175" zoomScale="145" zoomScaleNormal="145" workbookViewId="0">
      <selection activeCell="E22" sqref="E22"/>
    </sheetView>
  </sheetViews>
  <sheetFormatPr defaultRowHeight="20.100000000000001" customHeight="1" x14ac:dyDescent="0.3"/>
  <cols>
    <col min="1" max="1" width="22.5703125" style="47" customWidth="1"/>
    <col min="2" max="2" width="8.140625" style="47" customWidth="1"/>
    <col min="3" max="3" width="10.85546875" style="47" customWidth="1"/>
    <col min="4" max="4" width="4.28515625" style="47" customWidth="1"/>
    <col min="5" max="5" width="5.85546875" style="47" customWidth="1"/>
    <col min="6" max="6" width="6.28515625" style="47" customWidth="1"/>
    <col min="7" max="8" width="7.140625" style="47" customWidth="1"/>
    <col min="9" max="9" width="7" style="47" customWidth="1"/>
    <col min="10" max="16384" width="9.140625" style="47"/>
  </cols>
  <sheetData>
    <row r="2" spans="1:9" ht="20.100000000000001" customHeight="1" x14ac:dyDescent="0.3">
      <c r="A2" s="46" t="s">
        <v>30</v>
      </c>
      <c r="B2" s="46"/>
      <c r="C2" s="46"/>
      <c r="D2" s="46"/>
      <c r="E2" s="46"/>
      <c r="F2" s="46"/>
      <c r="G2" s="46"/>
      <c r="H2" s="46"/>
      <c r="I2" s="46"/>
    </row>
    <row r="3" spans="1:9" s="49" customFormat="1" ht="21.95" customHeight="1" x14ac:dyDescent="0.2">
      <c r="A3" s="48" t="s">
        <v>31</v>
      </c>
      <c r="B3" s="48"/>
      <c r="C3" s="48"/>
      <c r="D3" s="48"/>
      <c r="E3" s="48"/>
      <c r="F3" s="48"/>
      <c r="G3" s="48"/>
      <c r="H3" s="48"/>
      <c r="I3" s="48"/>
    </row>
    <row r="4" spans="1:9" ht="20.100000000000001" customHeight="1" x14ac:dyDescent="0.3">
      <c r="A4" s="50" t="s">
        <v>32</v>
      </c>
      <c r="B4" s="51" t="s">
        <v>33</v>
      </c>
      <c r="C4" s="51" t="s">
        <v>34</v>
      </c>
      <c r="D4" s="5" t="s">
        <v>35</v>
      </c>
      <c r="E4" s="5"/>
      <c r="F4" s="5"/>
      <c r="G4" s="5"/>
      <c r="H4" s="5"/>
      <c r="I4" s="4" t="s">
        <v>8</v>
      </c>
    </row>
    <row r="5" spans="1:9" ht="20.100000000000001" customHeight="1" x14ac:dyDescent="0.3">
      <c r="A5" s="52"/>
      <c r="B5" s="52"/>
      <c r="C5" s="52"/>
      <c r="D5" s="4" t="s">
        <v>4</v>
      </c>
      <c r="E5" s="53" t="s">
        <v>36</v>
      </c>
      <c r="F5" s="8" t="s">
        <v>37</v>
      </c>
      <c r="G5" s="8" t="s">
        <v>7</v>
      </c>
      <c r="H5" s="8" t="s">
        <v>7</v>
      </c>
      <c r="I5" s="7"/>
    </row>
    <row r="6" spans="1:9" ht="20.100000000000001" customHeight="1" x14ac:dyDescent="0.3">
      <c r="A6" s="52"/>
      <c r="B6" s="52"/>
      <c r="C6" s="52"/>
      <c r="D6" s="7"/>
      <c r="E6" s="54"/>
      <c r="F6" s="9" t="s">
        <v>38</v>
      </c>
      <c r="G6" s="9" t="s">
        <v>39</v>
      </c>
      <c r="H6" s="9" t="s">
        <v>40</v>
      </c>
      <c r="I6" s="7"/>
    </row>
    <row r="7" spans="1:9" ht="20.100000000000001" customHeight="1" x14ac:dyDescent="0.3">
      <c r="A7" s="55"/>
      <c r="B7" s="55"/>
      <c r="C7" s="55"/>
      <c r="D7" s="10"/>
      <c r="E7" s="10"/>
      <c r="F7" s="11" t="s">
        <v>9</v>
      </c>
      <c r="G7" s="56" t="s">
        <v>41</v>
      </c>
      <c r="H7" s="11" t="s">
        <v>41</v>
      </c>
      <c r="I7" s="10"/>
    </row>
    <row r="8" spans="1:9" ht="20.100000000000001" customHeight="1" x14ac:dyDescent="0.3">
      <c r="A8" s="57" t="s">
        <v>42</v>
      </c>
      <c r="B8" s="58">
        <v>6523</v>
      </c>
      <c r="C8" s="58">
        <v>99672</v>
      </c>
      <c r="D8" s="59">
        <v>3</v>
      </c>
      <c r="E8" s="59">
        <v>0</v>
      </c>
      <c r="F8" s="59">
        <v>0</v>
      </c>
      <c r="G8" s="59">
        <v>86</v>
      </c>
      <c r="H8" s="59">
        <v>344</v>
      </c>
      <c r="I8" s="59">
        <f t="shared" ref="I8:I19" si="0">SUM(D8:H8)</f>
        <v>433</v>
      </c>
    </row>
    <row r="9" spans="1:9" ht="20.100000000000001" customHeight="1" x14ac:dyDescent="0.3">
      <c r="A9" s="60" t="s">
        <v>43</v>
      </c>
      <c r="B9" s="61">
        <v>16633</v>
      </c>
      <c r="C9" s="61">
        <v>537368</v>
      </c>
      <c r="D9" s="62">
        <v>11</v>
      </c>
      <c r="E9" s="62">
        <v>1</v>
      </c>
      <c r="F9" s="62">
        <v>7</v>
      </c>
      <c r="G9" s="62">
        <v>142</v>
      </c>
      <c r="H9" s="62">
        <v>2098</v>
      </c>
      <c r="I9" s="62">
        <f t="shared" si="0"/>
        <v>2259</v>
      </c>
    </row>
    <row r="10" spans="1:9" ht="20.100000000000001" customHeight="1" x14ac:dyDescent="0.3">
      <c r="A10" s="60" t="s">
        <v>44</v>
      </c>
      <c r="B10" s="61">
        <v>13570</v>
      </c>
      <c r="C10" s="61">
        <v>612228</v>
      </c>
      <c r="D10" s="62">
        <v>36</v>
      </c>
      <c r="E10" s="62">
        <v>0</v>
      </c>
      <c r="F10" s="62">
        <v>9</v>
      </c>
      <c r="G10" s="62">
        <v>207</v>
      </c>
      <c r="H10" s="62">
        <v>2659</v>
      </c>
      <c r="I10" s="62">
        <f t="shared" si="0"/>
        <v>2911</v>
      </c>
    </row>
    <row r="11" spans="1:9" ht="20.100000000000001" customHeight="1" x14ac:dyDescent="0.3">
      <c r="A11" s="60" t="s">
        <v>45</v>
      </c>
      <c r="B11" s="61">
        <v>11682</v>
      </c>
      <c r="C11" s="61">
        <v>563018</v>
      </c>
      <c r="D11" s="62">
        <v>5</v>
      </c>
      <c r="E11" s="62">
        <v>0</v>
      </c>
      <c r="F11" s="62">
        <v>7</v>
      </c>
      <c r="G11" s="62">
        <v>386</v>
      </c>
      <c r="H11" s="62">
        <v>2044</v>
      </c>
      <c r="I11" s="62">
        <f t="shared" si="0"/>
        <v>2442</v>
      </c>
    </row>
    <row r="12" spans="1:9" ht="20.100000000000001" customHeight="1" x14ac:dyDescent="0.3">
      <c r="A12" s="60" t="s">
        <v>46</v>
      </c>
      <c r="B12" s="61">
        <v>7337</v>
      </c>
      <c r="C12" s="61">
        <v>135696</v>
      </c>
      <c r="D12" s="62">
        <v>11</v>
      </c>
      <c r="E12" s="62">
        <v>0</v>
      </c>
      <c r="F12" s="62">
        <v>1</v>
      </c>
      <c r="G12" s="62">
        <v>177</v>
      </c>
      <c r="H12" s="62">
        <v>397</v>
      </c>
      <c r="I12" s="62">
        <f t="shared" si="0"/>
        <v>586</v>
      </c>
    </row>
    <row r="13" spans="1:9" ht="20.100000000000001" customHeight="1" x14ac:dyDescent="0.3">
      <c r="A13" s="60" t="s">
        <v>47</v>
      </c>
      <c r="B13" s="61">
        <v>12319</v>
      </c>
      <c r="C13" s="61">
        <v>170141</v>
      </c>
      <c r="D13" s="62">
        <v>6</v>
      </c>
      <c r="E13" s="62">
        <v>0</v>
      </c>
      <c r="F13" s="62">
        <v>9</v>
      </c>
      <c r="G13" s="62">
        <v>227</v>
      </c>
      <c r="H13" s="62">
        <v>1491</v>
      </c>
      <c r="I13" s="62">
        <f t="shared" si="0"/>
        <v>1733</v>
      </c>
    </row>
    <row r="14" spans="1:9" ht="20.100000000000001" customHeight="1" x14ac:dyDescent="0.3">
      <c r="A14" s="60" t="s">
        <v>48</v>
      </c>
      <c r="B14" s="61">
        <v>14997</v>
      </c>
      <c r="C14" s="61">
        <v>241861</v>
      </c>
      <c r="D14" s="62">
        <v>13</v>
      </c>
      <c r="E14" s="62">
        <v>1</v>
      </c>
      <c r="F14" s="62">
        <v>28</v>
      </c>
      <c r="G14" s="62">
        <v>869</v>
      </c>
      <c r="H14" s="62">
        <v>2423</v>
      </c>
      <c r="I14" s="62">
        <f t="shared" si="0"/>
        <v>3334</v>
      </c>
    </row>
    <row r="15" spans="1:9" ht="20.100000000000001" customHeight="1" x14ac:dyDescent="0.3">
      <c r="A15" s="60" t="s">
        <v>49</v>
      </c>
      <c r="B15" s="61">
        <v>16586</v>
      </c>
      <c r="C15" s="61">
        <v>411894</v>
      </c>
      <c r="D15" s="62">
        <v>20</v>
      </c>
      <c r="E15" s="62">
        <v>0</v>
      </c>
      <c r="F15" s="62">
        <v>1</v>
      </c>
      <c r="G15" s="62">
        <v>912</v>
      </c>
      <c r="H15" s="62">
        <v>1789</v>
      </c>
      <c r="I15" s="62">
        <f t="shared" si="0"/>
        <v>2722</v>
      </c>
    </row>
    <row r="16" spans="1:9" ht="20.100000000000001" customHeight="1" x14ac:dyDescent="0.3">
      <c r="A16" s="60" t="s">
        <v>50</v>
      </c>
      <c r="B16" s="61">
        <v>19232</v>
      </c>
      <c r="C16" s="61">
        <v>387855</v>
      </c>
      <c r="D16" s="62">
        <v>21</v>
      </c>
      <c r="E16" s="62">
        <v>0</v>
      </c>
      <c r="F16" s="62">
        <v>10</v>
      </c>
      <c r="G16" s="62">
        <v>583</v>
      </c>
      <c r="H16" s="62">
        <v>1470</v>
      </c>
      <c r="I16" s="62">
        <f t="shared" si="0"/>
        <v>2084</v>
      </c>
    </row>
    <row r="17" spans="1:11" ht="20.100000000000001" customHeight="1" x14ac:dyDescent="0.3">
      <c r="A17" s="60" t="s">
        <v>51</v>
      </c>
      <c r="B17" s="61">
        <v>18053</v>
      </c>
      <c r="C17" s="61">
        <v>311517</v>
      </c>
      <c r="D17" s="62">
        <v>4</v>
      </c>
      <c r="E17" s="62">
        <v>0</v>
      </c>
      <c r="F17" s="62">
        <v>12</v>
      </c>
      <c r="G17" s="62">
        <v>376</v>
      </c>
      <c r="H17" s="62">
        <v>2524</v>
      </c>
      <c r="I17" s="62">
        <f t="shared" si="0"/>
        <v>2916</v>
      </c>
    </row>
    <row r="18" spans="1:11" ht="20.100000000000001" customHeight="1" x14ac:dyDescent="0.3">
      <c r="A18" s="60" t="s">
        <v>52</v>
      </c>
      <c r="B18" s="63">
        <v>8844</v>
      </c>
      <c r="C18" s="63">
        <v>256627</v>
      </c>
      <c r="D18" s="29">
        <v>4</v>
      </c>
      <c r="E18" s="29">
        <v>0</v>
      </c>
      <c r="F18" s="62">
        <v>5</v>
      </c>
      <c r="G18" s="62">
        <v>153</v>
      </c>
      <c r="H18" s="62">
        <v>1019</v>
      </c>
      <c r="I18" s="62">
        <f t="shared" si="0"/>
        <v>1181</v>
      </c>
    </row>
    <row r="19" spans="1:11" ht="20.100000000000001" customHeight="1" x14ac:dyDescent="0.3">
      <c r="A19" s="64" t="s">
        <v>53</v>
      </c>
      <c r="B19" s="63">
        <v>13953</v>
      </c>
      <c r="C19" s="63">
        <v>461234</v>
      </c>
      <c r="D19" s="29">
        <v>9</v>
      </c>
      <c r="E19" s="65">
        <v>0</v>
      </c>
      <c r="F19" s="65">
        <v>1</v>
      </c>
      <c r="G19" s="65">
        <v>371</v>
      </c>
      <c r="H19" s="65">
        <v>1750</v>
      </c>
      <c r="I19" s="65">
        <f t="shared" si="0"/>
        <v>2131</v>
      </c>
    </row>
    <row r="20" spans="1:11" ht="20.100000000000001" customHeight="1" x14ac:dyDescent="0.3">
      <c r="A20" s="66" t="s">
        <v>54</v>
      </c>
      <c r="B20" s="67">
        <f t="shared" ref="B20:I20" si="1">SUM(B8:B19)</f>
        <v>159729</v>
      </c>
      <c r="C20" s="67">
        <f t="shared" si="1"/>
        <v>4189111</v>
      </c>
      <c r="D20" s="38">
        <f t="shared" si="1"/>
        <v>143</v>
      </c>
      <c r="E20" s="38">
        <f t="shared" si="1"/>
        <v>2</v>
      </c>
      <c r="F20" s="38">
        <f t="shared" si="1"/>
        <v>90</v>
      </c>
      <c r="G20" s="38">
        <f t="shared" si="1"/>
        <v>4489</v>
      </c>
      <c r="H20" s="38">
        <f t="shared" si="1"/>
        <v>20008</v>
      </c>
      <c r="I20" s="38">
        <f t="shared" si="1"/>
        <v>24732</v>
      </c>
    </row>
    <row r="21" spans="1:11" ht="20.100000000000001" customHeight="1" x14ac:dyDescent="0.3">
      <c r="A21" s="68" t="s">
        <v>55</v>
      </c>
      <c r="B21" s="69">
        <v>8804</v>
      </c>
      <c r="C21" s="69">
        <v>250790</v>
      </c>
      <c r="D21" s="70">
        <v>23</v>
      </c>
      <c r="E21" s="70">
        <v>0</v>
      </c>
      <c r="F21" s="59">
        <v>13</v>
      </c>
      <c r="G21" s="59">
        <v>313</v>
      </c>
      <c r="H21" s="59">
        <v>2228</v>
      </c>
      <c r="I21" s="62">
        <f t="shared" ref="I21:I32" si="2">SUM(D21:H21)</f>
        <v>2577</v>
      </c>
      <c r="K21" s="71"/>
    </row>
    <row r="22" spans="1:11" ht="20.100000000000001" customHeight="1" x14ac:dyDescent="0.3">
      <c r="A22" s="72" t="s">
        <v>56</v>
      </c>
      <c r="B22" s="73">
        <v>4626</v>
      </c>
      <c r="C22" s="73">
        <v>134397</v>
      </c>
      <c r="D22" s="62">
        <v>5</v>
      </c>
      <c r="E22" s="70">
        <v>0</v>
      </c>
      <c r="F22" s="62">
        <v>51</v>
      </c>
      <c r="G22" s="62">
        <v>558</v>
      </c>
      <c r="H22" s="62">
        <v>1942</v>
      </c>
      <c r="I22" s="62">
        <f t="shared" si="2"/>
        <v>2556</v>
      </c>
    </row>
    <row r="23" spans="1:11" ht="20.100000000000001" customHeight="1" x14ac:dyDescent="0.3">
      <c r="A23" s="72" t="s">
        <v>57</v>
      </c>
      <c r="B23" s="73">
        <v>3799</v>
      </c>
      <c r="C23" s="73">
        <v>161152</v>
      </c>
      <c r="D23" s="62">
        <v>11</v>
      </c>
      <c r="E23" s="70">
        <v>0</v>
      </c>
      <c r="F23" s="62">
        <v>25</v>
      </c>
      <c r="G23" s="62">
        <v>546</v>
      </c>
      <c r="H23" s="62">
        <v>1060</v>
      </c>
      <c r="I23" s="62">
        <f t="shared" si="2"/>
        <v>1642</v>
      </c>
    </row>
    <row r="24" spans="1:11" ht="20.100000000000001" customHeight="1" x14ac:dyDescent="0.3">
      <c r="A24" s="72" t="s">
        <v>58</v>
      </c>
      <c r="B24" s="73">
        <v>9165</v>
      </c>
      <c r="C24" s="73">
        <v>238160</v>
      </c>
      <c r="D24" s="62">
        <v>26</v>
      </c>
      <c r="E24" s="70">
        <v>0</v>
      </c>
      <c r="F24" s="62">
        <v>32</v>
      </c>
      <c r="G24" s="62">
        <v>681</v>
      </c>
      <c r="H24" s="62">
        <v>1717</v>
      </c>
      <c r="I24" s="62">
        <f t="shared" si="2"/>
        <v>2456</v>
      </c>
    </row>
    <row r="25" spans="1:11" ht="20.100000000000001" customHeight="1" x14ac:dyDescent="0.3">
      <c r="A25" s="72" t="s">
        <v>59</v>
      </c>
      <c r="B25" s="73">
        <v>14542</v>
      </c>
      <c r="C25" s="73">
        <v>278091</v>
      </c>
      <c r="D25" s="62">
        <v>25</v>
      </c>
      <c r="E25" s="70">
        <v>2</v>
      </c>
      <c r="F25" s="62">
        <v>4</v>
      </c>
      <c r="G25" s="62">
        <v>221</v>
      </c>
      <c r="H25" s="62">
        <v>1835</v>
      </c>
      <c r="I25" s="62">
        <f t="shared" si="2"/>
        <v>2087</v>
      </c>
    </row>
    <row r="26" spans="1:11" s="76" customFormat="1" ht="20.100000000000001" customHeight="1" x14ac:dyDescent="0.3">
      <c r="A26" s="72" t="s">
        <v>60</v>
      </c>
      <c r="B26" s="73">
        <v>7643</v>
      </c>
      <c r="C26" s="73">
        <v>112178</v>
      </c>
      <c r="D26" s="74">
        <v>14</v>
      </c>
      <c r="E26" s="75">
        <v>0</v>
      </c>
      <c r="F26" s="74">
        <v>9</v>
      </c>
      <c r="G26" s="74">
        <v>163</v>
      </c>
      <c r="H26" s="74">
        <v>1030</v>
      </c>
      <c r="I26" s="62">
        <f t="shared" si="2"/>
        <v>1216</v>
      </c>
    </row>
    <row r="27" spans="1:11" ht="20.100000000000001" customHeight="1" x14ac:dyDescent="0.3">
      <c r="A27" s="72" t="s">
        <v>61</v>
      </c>
      <c r="B27" s="73">
        <v>14016</v>
      </c>
      <c r="C27" s="73">
        <v>291817</v>
      </c>
      <c r="D27" s="62">
        <v>17</v>
      </c>
      <c r="E27" s="70">
        <v>0</v>
      </c>
      <c r="F27" s="62">
        <v>23</v>
      </c>
      <c r="G27" s="62">
        <v>222</v>
      </c>
      <c r="H27" s="62">
        <v>2241</v>
      </c>
      <c r="I27" s="62">
        <f t="shared" si="2"/>
        <v>2503</v>
      </c>
      <c r="K27" s="71"/>
    </row>
    <row r="28" spans="1:11" ht="20.100000000000001" customHeight="1" x14ac:dyDescent="0.3">
      <c r="A28" s="72" t="s">
        <v>62</v>
      </c>
      <c r="B28" s="73">
        <v>6224</v>
      </c>
      <c r="C28" s="73">
        <v>188972</v>
      </c>
      <c r="D28" s="62">
        <v>5</v>
      </c>
      <c r="E28" s="70">
        <v>0</v>
      </c>
      <c r="F28" s="62">
        <v>8</v>
      </c>
      <c r="G28" s="62">
        <v>298</v>
      </c>
      <c r="H28" s="62">
        <v>1197</v>
      </c>
      <c r="I28" s="62">
        <f t="shared" si="2"/>
        <v>1508</v>
      </c>
    </row>
    <row r="29" spans="1:11" ht="20.100000000000001" customHeight="1" x14ac:dyDescent="0.3">
      <c r="A29" s="72" t="s">
        <v>63</v>
      </c>
      <c r="B29" s="73">
        <v>5184</v>
      </c>
      <c r="C29" s="73">
        <v>121874</v>
      </c>
      <c r="D29" s="62">
        <v>6</v>
      </c>
      <c r="E29" s="70">
        <v>0</v>
      </c>
      <c r="F29" s="62">
        <v>19</v>
      </c>
      <c r="G29" s="62">
        <v>205</v>
      </c>
      <c r="H29" s="62">
        <v>627</v>
      </c>
      <c r="I29" s="62">
        <f t="shared" si="2"/>
        <v>857</v>
      </c>
    </row>
    <row r="30" spans="1:11" ht="20.100000000000001" customHeight="1" x14ac:dyDescent="0.3">
      <c r="A30" s="72" t="s">
        <v>64</v>
      </c>
      <c r="B30" s="73">
        <v>4323</v>
      </c>
      <c r="C30" s="73">
        <v>144588</v>
      </c>
      <c r="D30" s="62">
        <v>2</v>
      </c>
      <c r="E30" s="70">
        <v>1</v>
      </c>
      <c r="F30" s="62">
        <v>17</v>
      </c>
      <c r="G30" s="62">
        <v>194</v>
      </c>
      <c r="H30" s="62">
        <v>1074</v>
      </c>
      <c r="I30" s="62">
        <f t="shared" si="2"/>
        <v>1288</v>
      </c>
    </row>
    <row r="31" spans="1:11" ht="20.100000000000001" customHeight="1" x14ac:dyDescent="0.3">
      <c r="A31" s="72" t="s">
        <v>65</v>
      </c>
      <c r="B31" s="73">
        <v>8248</v>
      </c>
      <c r="C31" s="73">
        <v>343970</v>
      </c>
      <c r="D31" s="62">
        <v>12</v>
      </c>
      <c r="E31" s="70">
        <v>2</v>
      </c>
      <c r="F31" s="62">
        <v>100</v>
      </c>
      <c r="G31" s="62">
        <v>1339</v>
      </c>
      <c r="H31" s="62">
        <v>2485</v>
      </c>
      <c r="I31" s="62">
        <f t="shared" si="2"/>
        <v>3938</v>
      </c>
    </row>
    <row r="32" spans="1:11" ht="20.100000000000001" customHeight="1" x14ac:dyDescent="0.3">
      <c r="A32" s="77" t="s">
        <v>66</v>
      </c>
      <c r="B32" s="78">
        <v>4423</v>
      </c>
      <c r="C32" s="78">
        <v>150001</v>
      </c>
      <c r="D32" s="29">
        <v>11</v>
      </c>
      <c r="E32" s="70">
        <v>0</v>
      </c>
      <c r="F32" s="79">
        <v>57</v>
      </c>
      <c r="G32" s="65">
        <v>356</v>
      </c>
      <c r="H32" s="65">
        <v>1625</v>
      </c>
      <c r="I32" s="65">
        <f t="shared" si="2"/>
        <v>2049</v>
      </c>
      <c r="K32" s="71"/>
    </row>
    <row r="33" spans="1:9" ht="20.100000000000001" customHeight="1" x14ac:dyDescent="0.3">
      <c r="A33" s="80" t="s">
        <v>67</v>
      </c>
      <c r="B33" s="67">
        <f t="shared" ref="B33:I33" si="3">SUM(B21:B32)</f>
        <v>90997</v>
      </c>
      <c r="C33" s="67">
        <f t="shared" si="3"/>
        <v>2415990</v>
      </c>
      <c r="D33" s="38">
        <f t="shared" si="3"/>
        <v>157</v>
      </c>
      <c r="E33" s="38">
        <f t="shared" si="3"/>
        <v>5</v>
      </c>
      <c r="F33" s="38">
        <f t="shared" si="3"/>
        <v>358</v>
      </c>
      <c r="G33" s="38">
        <f t="shared" si="3"/>
        <v>5096</v>
      </c>
      <c r="H33" s="38">
        <f t="shared" si="3"/>
        <v>19061</v>
      </c>
      <c r="I33" s="38">
        <f t="shared" si="3"/>
        <v>24677</v>
      </c>
    </row>
    <row r="34" spans="1:9" ht="20.100000000000001" customHeight="1" x14ac:dyDescent="0.3">
      <c r="A34" s="81"/>
      <c r="B34" s="81"/>
      <c r="C34" s="81"/>
      <c r="D34" s="82"/>
      <c r="E34" s="82"/>
      <c r="F34" s="82"/>
      <c r="G34" s="82"/>
      <c r="H34" s="82"/>
      <c r="I34" s="82"/>
    </row>
    <row r="35" spans="1:9" ht="20.100000000000001" customHeight="1" x14ac:dyDescent="0.3">
      <c r="A35" s="83"/>
      <c r="B35" s="83"/>
      <c r="C35" s="83"/>
      <c r="D35" s="84"/>
      <c r="E35" s="84"/>
      <c r="F35" s="84"/>
      <c r="G35" s="84"/>
      <c r="H35" s="84"/>
      <c r="I35" s="84"/>
    </row>
    <row r="36" spans="1:9" ht="20.100000000000001" customHeight="1" x14ac:dyDescent="0.3">
      <c r="A36" s="83"/>
      <c r="B36" s="83"/>
      <c r="C36" s="83"/>
      <c r="D36" s="84"/>
      <c r="E36" s="84"/>
      <c r="F36" s="84"/>
      <c r="G36" s="84"/>
      <c r="H36" s="84"/>
      <c r="I36" s="84"/>
    </row>
    <row r="37" spans="1:9" ht="17.100000000000001" customHeight="1" x14ac:dyDescent="0.3">
      <c r="A37" s="85" t="s">
        <v>30</v>
      </c>
      <c r="B37" s="85"/>
      <c r="C37" s="85"/>
      <c r="D37" s="85"/>
      <c r="E37" s="85"/>
      <c r="F37" s="85"/>
      <c r="G37" s="85"/>
      <c r="H37" s="85"/>
      <c r="I37" s="85"/>
    </row>
    <row r="38" spans="1:9" ht="17.100000000000001" customHeight="1" x14ac:dyDescent="0.3">
      <c r="A38" s="86" t="s">
        <v>68</v>
      </c>
      <c r="B38" s="86"/>
      <c r="C38" s="86"/>
      <c r="D38" s="86"/>
      <c r="E38" s="86"/>
      <c r="F38" s="86"/>
      <c r="G38" s="86"/>
      <c r="H38" s="86"/>
      <c r="I38" s="86"/>
    </row>
    <row r="39" spans="1:9" ht="17.100000000000001" customHeight="1" x14ac:dyDescent="0.3">
      <c r="A39" s="50" t="s">
        <v>32</v>
      </c>
      <c r="B39" s="51" t="s">
        <v>33</v>
      </c>
      <c r="C39" s="51" t="s">
        <v>34</v>
      </c>
      <c r="D39" s="5" t="s">
        <v>35</v>
      </c>
      <c r="E39" s="5"/>
      <c r="F39" s="5"/>
      <c r="G39" s="5"/>
      <c r="H39" s="5"/>
      <c r="I39" s="4" t="s">
        <v>8</v>
      </c>
    </row>
    <row r="40" spans="1:9" ht="17.100000000000001" customHeight="1" x14ac:dyDescent="0.3">
      <c r="A40" s="52"/>
      <c r="B40" s="52"/>
      <c r="C40" s="52"/>
      <c r="D40" s="4" t="s">
        <v>4</v>
      </c>
      <c r="E40" s="53" t="s">
        <v>36</v>
      </c>
      <c r="F40" s="8" t="s">
        <v>37</v>
      </c>
      <c r="G40" s="8" t="s">
        <v>7</v>
      </c>
      <c r="H40" s="8" t="s">
        <v>7</v>
      </c>
      <c r="I40" s="7"/>
    </row>
    <row r="41" spans="1:9" ht="17.100000000000001" customHeight="1" x14ac:dyDescent="0.3">
      <c r="A41" s="52"/>
      <c r="B41" s="52"/>
      <c r="C41" s="52"/>
      <c r="D41" s="7"/>
      <c r="E41" s="54"/>
      <c r="F41" s="9" t="s">
        <v>38</v>
      </c>
      <c r="G41" s="9" t="s">
        <v>39</v>
      </c>
      <c r="H41" s="9" t="s">
        <v>40</v>
      </c>
      <c r="I41" s="7"/>
    </row>
    <row r="42" spans="1:9" ht="17.100000000000001" customHeight="1" x14ac:dyDescent="0.3">
      <c r="A42" s="55"/>
      <c r="B42" s="55"/>
      <c r="C42" s="55"/>
      <c r="D42" s="10"/>
      <c r="E42" s="10"/>
      <c r="F42" s="11" t="s">
        <v>9</v>
      </c>
      <c r="G42" s="56" t="s">
        <v>41</v>
      </c>
      <c r="H42" s="11" t="s">
        <v>41</v>
      </c>
      <c r="I42" s="10"/>
    </row>
    <row r="43" spans="1:9" ht="17.100000000000001" customHeight="1" x14ac:dyDescent="0.3">
      <c r="A43" s="68" t="s">
        <v>69</v>
      </c>
      <c r="B43" s="69">
        <v>4313</v>
      </c>
      <c r="C43" s="69">
        <v>189954</v>
      </c>
      <c r="D43" s="70">
        <v>12</v>
      </c>
      <c r="E43" s="70">
        <v>0</v>
      </c>
      <c r="F43" s="70">
        <v>11</v>
      </c>
      <c r="G43" s="70">
        <v>384</v>
      </c>
      <c r="H43" s="70">
        <v>886</v>
      </c>
      <c r="I43" s="70">
        <f t="shared" ref="I43:I74" si="4">SUM(D43:H43)</f>
        <v>1293</v>
      </c>
    </row>
    <row r="44" spans="1:9" ht="17.100000000000001" customHeight="1" x14ac:dyDescent="0.3">
      <c r="A44" s="87" t="s">
        <v>70</v>
      </c>
      <c r="B44" s="88">
        <v>1805</v>
      </c>
      <c r="C44" s="88">
        <v>134289</v>
      </c>
      <c r="D44" s="89">
        <v>2</v>
      </c>
      <c r="E44" s="70">
        <v>0</v>
      </c>
      <c r="F44" s="62">
        <v>9</v>
      </c>
      <c r="G44" s="62">
        <v>270</v>
      </c>
      <c r="H44" s="62">
        <v>665</v>
      </c>
      <c r="I44" s="62">
        <f t="shared" si="4"/>
        <v>946</v>
      </c>
    </row>
    <row r="45" spans="1:9" ht="17.100000000000001" customHeight="1" x14ac:dyDescent="0.3">
      <c r="A45" s="72" t="s">
        <v>71</v>
      </c>
      <c r="B45" s="73">
        <v>1012</v>
      </c>
      <c r="C45" s="73">
        <v>14731</v>
      </c>
      <c r="D45" s="62">
        <v>0</v>
      </c>
      <c r="E45" s="62">
        <v>0</v>
      </c>
      <c r="F45" s="62">
        <v>0</v>
      </c>
      <c r="G45" s="62">
        <v>38</v>
      </c>
      <c r="H45" s="62">
        <v>35</v>
      </c>
      <c r="I45" s="62">
        <f t="shared" si="4"/>
        <v>73</v>
      </c>
    </row>
    <row r="46" spans="1:9" ht="17.100000000000001" customHeight="1" x14ac:dyDescent="0.3">
      <c r="A46" s="72" t="s">
        <v>72</v>
      </c>
      <c r="B46" s="73">
        <v>1984</v>
      </c>
      <c r="C46" s="73">
        <v>61848</v>
      </c>
      <c r="D46" s="62">
        <v>3</v>
      </c>
      <c r="E46" s="62">
        <v>0</v>
      </c>
      <c r="F46" s="62">
        <v>5</v>
      </c>
      <c r="G46" s="62">
        <v>62</v>
      </c>
      <c r="H46" s="62">
        <v>268</v>
      </c>
      <c r="I46" s="62">
        <f t="shared" si="4"/>
        <v>338</v>
      </c>
    </row>
    <row r="47" spans="1:9" ht="17.100000000000001" customHeight="1" x14ac:dyDescent="0.3">
      <c r="A47" s="72" t="s">
        <v>73</v>
      </c>
      <c r="B47" s="73">
        <v>397</v>
      </c>
      <c r="C47" s="73">
        <v>17044</v>
      </c>
      <c r="D47" s="62">
        <v>3</v>
      </c>
      <c r="E47" s="62">
        <v>0</v>
      </c>
      <c r="F47" s="62">
        <v>0</v>
      </c>
      <c r="G47" s="62">
        <v>82</v>
      </c>
      <c r="H47" s="62">
        <v>190</v>
      </c>
      <c r="I47" s="62">
        <f t="shared" si="4"/>
        <v>275</v>
      </c>
    </row>
    <row r="48" spans="1:9" ht="17.100000000000001" customHeight="1" x14ac:dyDescent="0.3">
      <c r="A48" s="68" t="s">
        <v>74</v>
      </c>
      <c r="B48" s="69">
        <v>839</v>
      </c>
      <c r="C48" s="69">
        <v>19416</v>
      </c>
      <c r="D48" s="70">
        <v>2</v>
      </c>
      <c r="E48" s="70">
        <v>0</v>
      </c>
      <c r="F48" s="62">
        <v>1</v>
      </c>
      <c r="G48" s="70">
        <v>46</v>
      </c>
      <c r="H48" s="70">
        <v>102</v>
      </c>
      <c r="I48" s="70">
        <f t="shared" si="4"/>
        <v>151</v>
      </c>
    </row>
    <row r="49" spans="1:11" ht="17.100000000000001" customHeight="1" x14ac:dyDescent="0.3">
      <c r="A49" s="68" t="s">
        <v>75</v>
      </c>
      <c r="B49" s="69">
        <v>886</v>
      </c>
      <c r="C49" s="69">
        <v>19746</v>
      </c>
      <c r="D49" s="70">
        <v>0</v>
      </c>
      <c r="E49" s="70">
        <v>0</v>
      </c>
      <c r="F49" s="62">
        <v>1</v>
      </c>
      <c r="G49" s="70">
        <v>28</v>
      </c>
      <c r="H49" s="70">
        <v>44</v>
      </c>
      <c r="I49" s="70">
        <f t="shared" si="4"/>
        <v>73</v>
      </c>
    </row>
    <row r="50" spans="1:11" ht="17.100000000000001" customHeight="1" x14ac:dyDescent="0.3">
      <c r="A50" s="68" t="s">
        <v>76</v>
      </c>
      <c r="B50" s="69">
        <v>3546</v>
      </c>
      <c r="C50" s="69">
        <v>106040</v>
      </c>
      <c r="D50" s="70">
        <v>10</v>
      </c>
      <c r="E50" s="70">
        <v>0</v>
      </c>
      <c r="F50" s="62">
        <v>2</v>
      </c>
      <c r="G50" s="70">
        <v>268</v>
      </c>
      <c r="H50" s="70">
        <v>663</v>
      </c>
      <c r="I50" s="70">
        <f t="shared" si="4"/>
        <v>943</v>
      </c>
    </row>
    <row r="51" spans="1:11" ht="17.100000000000001" customHeight="1" x14ac:dyDescent="0.3">
      <c r="A51" s="68" t="s">
        <v>77</v>
      </c>
      <c r="B51" s="69">
        <v>1047</v>
      </c>
      <c r="C51" s="69">
        <v>65823</v>
      </c>
      <c r="D51" s="70">
        <v>11</v>
      </c>
      <c r="E51" s="70">
        <v>0</v>
      </c>
      <c r="F51" s="62">
        <v>4</v>
      </c>
      <c r="G51" s="70">
        <v>114</v>
      </c>
      <c r="H51" s="70">
        <v>307</v>
      </c>
      <c r="I51" s="70">
        <f t="shared" si="4"/>
        <v>436</v>
      </c>
    </row>
    <row r="52" spans="1:11" ht="17.100000000000001" customHeight="1" x14ac:dyDescent="0.3">
      <c r="A52" s="72" t="s">
        <v>78</v>
      </c>
      <c r="B52" s="73">
        <v>10439</v>
      </c>
      <c r="C52" s="73">
        <v>440631</v>
      </c>
      <c r="D52" s="62">
        <v>9</v>
      </c>
      <c r="E52" s="62">
        <v>0</v>
      </c>
      <c r="F52" s="62">
        <v>49</v>
      </c>
      <c r="G52" s="62">
        <v>228</v>
      </c>
      <c r="H52" s="62">
        <v>3313</v>
      </c>
      <c r="I52" s="62">
        <f t="shared" si="4"/>
        <v>3599</v>
      </c>
      <c r="K52" s="71"/>
    </row>
    <row r="53" spans="1:11" ht="17.100000000000001" customHeight="1" x14ac:dyDescent="0.3">
      <c r="A53" s="68" t="s">
        <v>79</v>
      </c>
      <c r="B53" s="69">
        <v>7031</v>
      </c>
      <c r="C53" s="69">
        <v>298561</v>
      </c>
      <c r="D53" s="70">
        <v>13</v>
      </c>
      <c r="E53" s="70">
        <v>0</v>
      </c>
      <c r="F53" s="62">
        <v>14</v>
      </c>
      <c r="G53" s="62">
        <v>78</v>
      </c>
      <c r="H53" s="62">
        <v>2940</v>
      </c>
      <c r="I53" s="62">
        <f t="shared" si="4"/>
        <v>3045</v>
      </c>
      <c r="K53" s="71"/>
    </row>
    <row r="54" spans="1:11" ht="17.100000000000001" customHeight="1" x14ac:dyDescent="0.3">
      <c r="A54" s="68" t="s">
        <v>80</v>
      </c>
      <c r="B54" s="69">
        <v>8833</v>
      </c>
      <c r="C54" s="69">
        <v>129125</v>
      </c>
      <c r="D54" s="70">
        <v>16</v>
      </c>
      <c r="E54" s="70">
        <v>0</v>
      </c>
      <c r="F54" s="62">
        <v>7</v>
      </c>
      <c r="G54" s="62">
        <v>125</v>
      </c>
      <c r="H54" s="62">
        <v>798</v>
      </c>
      <c r="I54" s="62">
        <f t="shared" si="4"/>
        <v>946</v>
      </c>
    </row>
    <row r="55" spans="1:11" s="76" customFormat="1" ht="17.100000000000001" customHeight="1" x14ac:dyDescent="0.3">
      <c r="A55" s="72" t="s">
        <v>81</v>
      </c>
      <c r="B55" s="73">
        <v>6907</v>
      </c>
      <c r="C55" s="73">
        <v>205628</v>
      </c>
      <c r="D55" s="74">
        <v>4</v>
      </c>
      <c r="E55" s="74">
        <v>1</v>
      </c>
      <c r="F55" s="62">
        <v>17</v>
      </c>
      <c r="G55" s="74">
        <v>159</v>
      </c>
      <c r="H55" s="74">
        <v>1201</v>
      </c>
      <c r="I55" s="74">
        <f t="shared" si="4"/>
        <v>1382</v>
      </c>
      <c r="K55" s="90"/>
    </row>
    <row r="56" spans="1:11" ht="17.100000000000001" customHeight="1" x14ac:dyDescent="0.3">
      <c r="A56" s="72" t="s">
        <v>82</v>
      </c>
      <c r="B56" s="73">
        <v>3470</v>
      </c>
      <c r="C56" s="73">
        <v>301267</v>
      </c>
      <c r="D56" s="62">
        <v>4</v>
      </c>
      <c r="E56" s="62">
        <v>0</v>
      </c>
      <c r="F56" s="62">
        <v>20</v>
      </c>
      <c r="G56" s="62">
        <v>146</v>
      </c>
      <c r="H56" s="62">
        <v>1966</v>
      </c>
      <c r="I56" s="62">
        <f t="shared" si="4"/>
        <v>2136</v>
      </c>
    </row>
    <row r="57" spans="1:11" ht="17.100000000000001" customHeight="1" x14ac:dyDescent="0.3">
      <c r="A57" s="72" t="s">
        <v>83</v>
      </c>
      <c r="B57" s="73">
        <v>2569</v>
      </c>
      <c r="C57" s="73">
        <v>30399</v>
      </c>
      <c r="D57" s="62">
        <v>1</v>
      </c>
      <c r="E57" s="62">
        <v>0</v>
      </c>
      <c r="F57" s="62">
        <v>0</v>
      </c>
      <c r="G57" s="62">
        <v>60</v>
      </c>
      <c r="H57" s="62">
        <v>119</v>
      </c>
      <c r="I57" s="62">
        <f t="shared" si="4"/>
        <v>180</v>
      </c>
    </row>
    <row r="58" spans="1:11" ht="17.100000000000001" customHeight="1" x14ac:dyDescent="0.3">
      <c r="A58" s="72" t="s">
        <v>84</v>
      </c>
      <c r="B58" s="73">
        <v>477</v>
      </c>
      <c r="C58" s="73">
        <v>4758</v>
      </c>
      <c r="D58" s="62">
        <v>1</v>
      </c>
      <c r="E58" s="62">
        <v>0</v>
      </c>
      <c r="F58" s="62">
        <v>0</v>
      </c>
      <c r="G58" s="62">
        <v>4</v>
      </c>
      <c r="H58" s="62">
        <v>5</v>
      </c>
      <c r="I58" s="62">
        <f t="shared" si="4"/>
        <v>10</v>
      </c>
    </row>
    <row r="59" spans="1:11" ht="17.100000000000001" customHeight="1" x14ac:dyDescent="0.3">
      <c r="A59" s="72" t="s">
        <v>85</v>
      </c>
      <c r="B59" s="73">
        <v>1188</v>
      </c>
      <c r="C59" s="73">
        <v>15585</v>
      </c>
      <c r="D59" s="62">
        <v>3</v>
      </c>
      <c r="E59" s="62">
        <v>0</v>
      </c>
      <c r="F59" s="62">
        <v>0</v>
      </c>
      <c r="G59" s="62">
        <v>45</v>
      </c>
      <c r="H59" s="62">
        <v>83</v>
      </c>
      <c r="I59" s="62">
        <f t="shared" si="4"/>
        <v>131</v>
      </c>
    </row>
    <row r="60" spans="1:11" ht="17.100000000000001" customHeight="1" x14ac:dyDescent="0.3">
      <c r="A60" s="72" t="s">
        <v>86</v>
      </c>
      <c r="B60" s="73">
        <v>2804</v>
      </c>
      <c r="C60" s="73">
        <v>91364</v>
      </c>
      <c r="D60" s="62">
        <v>6</v>
      </c>
      <c r="E60" s="62">
        <v>0</v>
      </c>
      <c r="F60" s="62">
        <v>8</v>
      </c>
      <c r="G60" s="62">
        <v>274</v>
      </c>
      <c r="H60" s="62">
        <v>542</v>
      </c>
      <c r="I60" s="62">
        <f t="shared" si="4"/>
        <v>830</v>
      </c>
    </row>
    <row r="61" spans="1:11" ht="17.100000000000001" customHeight="1" x14ac:dyDescent="0.3">
      <c r="A61" s="72" t="s">
        <v>87</v>
      </c>
      <c r="B61" s="73">
        <v>1140</v>
      </c>
      <c r="C61" s="73">
        <v>119218</v>
      </c>
      <c r="D61" s="62">
        <v>2</v>
      </c>
      <c r="E61" s="62">
        <v>0</v>
      </c>
      <c r="F61" s="62">
        <v>10</v>
      </c>
      <c r="G61" s="62">
        <v>421</v>
      </c>
      <c r="H61" s="62">
        <v>639</v>
      </c>
      <c r="I61" s="62">
        <f t="shared" si="4"/>
        <v>1072</v>
      </c>
    </row>
    <row r="62" spans="1:11" ht="17.100000000000001" customHeight="1" x14ac:dyDescent="0.3">
      <c r="A62" s="72" t="s">
        <v>88</v>
      </c>
      <c r="B62" s="73">
        <v>1118</v>
      </c>
      <c r="C62" s="73">
        <v>47306</v>
      </c>
      <c r="D62" s="62">
        <v>3</v>
      </c>
      <c r="E62" s="62">
        <v>0</v>
      </c>
      <c r="F62" s="62">
        <v>3</v>
      </c>
      <c r="G62" s="62">
        <v>75</v>
      </c>
      <c r="H62" s="62">
        <v>368</v>
      </c>
      <c r="I62" s="62">
        <f t="shared" si="4"/>
        <v>449</v>
      </c>
    </row>
    <row r="63" spans="1:11" ht="17.100000000000001" customHeight="1" x14ac:dyDescent="0.3">
      <c r="A63" s="72" t="s">
        <v>89</v>
      </c>
      <c r="B63" s="73">
        <v>1663</v>
      </c>
      <c r="C63" s="73">
        <v>69766</v>
      </c>
      <c r="D63" s="62">
        <v>7</v>
      </c>
      <c r="E63" s="62">
        <v>0</v>
      </c>
      <c r="F63" s="62">
        <v>8</v>
      </c>
      <c r="G63" s="62">
        <v>92</v>
      </c>
      <c r="H63" s="62">
        <v>507</v>
      </c>
      <c r="I63" s="62">
        <f t="shared" si="4"/>
        <v>614</v>
      </c>
    </row>
    <row r="64" spans="1:11" ht="17.100000000000001" customHeight="1" x14ac:dyDescent="0.3">
      <c r="A64" s="72" t="s">
        <v>90</v>
      </c>
      <c r="B64" s="73">
        <v>962</v>
      </c>
      <c r="C64" s="73">
        <v>84603</v>
      </c>
      <c r="D64" s="62">
        <v>3</v>
      </c>
      <c r="E64" s="62">
        <v>1</v>
      </c>
      <c r="F64" s="62">
        <v>1</v>
      </c>
      <c r="G64" s="62">
        <v>188</v>
      </c>
      <c r="H64" s="62">
        <v>608</v>
      </c>
      <c r="I64" s="62">
        <f t="shared" si="4"/>
        <v>801</v>
      </c>
    </row>
    <row r="65" spans="1:9" ht="17.100000000000001" customHeight="1" x14ac:dyDescent="0.3">
      <c r="A65" s="72" t="s">
        <v>91</v>
      </c>
      <c r="B65" s="73">
        <v>1221</v>
      </c>
      <c r="C65" s="73">
        <v>26065</v>
      </c>
      <c r="D65" s="62">
        <v>1</v>
      </c>
      <c r="E65" s="62">
        <v>0</v>
      </c>
      <c r="F65" s="62">
        <v>2</v>
      </c>
      <c r="G65" s="62">
        <v>22</v>
      </c>
      <c r="H65" s="62">
        <v>86</v>
      </c>
      <c r="I65" s="62">
        <f t="shared" si="4"/>
        <v>111</v>
      </c>
    </row>
    <row r="66" spans="1:9" ht="17.100000000000001" customHeight="1" x14ac:dyDescent="0.3">
      <c r="A66" s="72" t="s">
        <v>92</v>
      </c>
      <c r="B66" s="73">
        <v>777</v>
      </c>
      <c r="C66" s="73">
        <v>19406</v>
      </c>
      <c r="D66" s="62">
        <v>2</v>
      </c>
      <c r="E66" s="62">
        <v>0</v>
      </c>
      <c r="F66" s="62">
        <v>2</v>
      </c>
      <c r="G66" s="62">
        <v>53</v>
      </c>
      <c r="H66" s="62">
        <v>103</v>
      </c>
      <c r="I66" s="62">
        <f t="shared" si="4"/>
        <v>160</v>
      </c>
    </row>
    <row r="67" spans="1:9" ht="17.100000000000001" customHeight="1" x14ac:dyDescent="0.3">
      <c r="A67" s="72" t="s">
        <v>93</v>
      </c>
      <c r="B67" s="73">
        <v>466</v>
      </c>
      <c r="C67" s="73">
        <v>5755</v>
      </c>
      <c r="D67" s="62">
        <v>0</v>
      </c>
      <c r="E67" s="62">
        <v>0</v>
      </c>
      <c r="F67" s="62">
        <v>0</v>
      </c>
      <c r="G67" s="62">
        <v>9</v>
      </c>
      <c r="H67" s="62">
        <v>21</v>
      </c>
      <c r="I67" s="62">
        <f t="shared" si="4"/>
        <v>30</v>
      </c>
    </row>
    <row r="68" spans="1:9" ht="17.100000000000001" customHeight="1" x14ac:dyDescent="0.3">
      <c r="A68" s="72" t="s">
        <v>94</v>
      </c>
      <c r="B68" s="73">
        <v>3040</v>
      </c>
      <c r="C68" s="73">
        <v>106009</v>
      </c>
      <c r="D68" s="62">
        <v>10</v>
      </c>
      <c r="E68" s="62">
        <v>0</v>
      </c>
      <c r="F68" s="62">
        <v>10</v>
      </c>
      <c r="G68" s="62">
        <v>267</v>
      </c>
      <c r="H68" s="62">
        <v>502</v>
      </c>
      <c r="I68" s="62">
        <f t="shared" si="4"/>
        <v>789</v>
      </c>
    </row>
    <row r="69" spans="1:9" ht="17.100000000000001" customHeight="1" x14ac:dyDescent="0.3">
      <c r="A69" s="72" t="s">
        <v>95</v>
      </c>
      <c r="B69" s="73">
        <v>1279</v>
      </c>
      <c r="C69" s="73">
        <v>34954</v>
      </c>
      <c r="D69" s="62">
        <v>5</v>
      </c>
      <c r="E69" s="62">
        <v>0</v>
      </c>
      <c r="F69" s="62">
        <v>2</v>
      </c>
      <c r="G69" s="62">
        <v>45</v>
      </c>
      <c r="H69" s="62">
        <v>178</v>
      </c>
      <c r="I69" s="62">
        <f t="shared" si="4"/>
        <v>230</v>
      </c>
    </row>
    <row r="70" spans="1:9" ht="17.100000000000001" customHeight="1" x14ac:dyDescent="0.3">
      <c r="A70" s="72" t="s">
        <v>96</v>
      </c>
      <c r="B70" s="73">
        <v>1571</v>
      </c>
      <c r="C70" s="73">
        <v>31939</v>
      </c>
      <c r="D70" s="62">
        <v>5</v>
      </c>
      <c r="E70" s="62">
        <v>0</v>
      </c>
      <c r="F70" s="62">
        <v>1</v>
      </c>
      <c r="G70" s="62">
        <v>69</v>
      </c>
      <c r="H70" s="62">
        <v>54</v>
      </c>
      <c r="I70" s="62">
        <f t="shared" si="4"/>
        <v>129</v>
      </c>
    </row>
    <row r="71" spans="1:9" ht="17.100000000000001" customHeight="1" x14ac:dyDescent="0.3">
      <c r="A71" s="72" t="s">
        <v>97</v>
      </c>
      <c r="B71" s="73">
        <v>1221</v>
      </c>
      <c r="C71" s="73">
        <v>43956</v>
      </c>
      <c r="D71" s="62">
        <v>5</v>
      </c>
      <c r="E71" s="62">
        <v>0</v>
      </c>
      <c r="F71" s="62">
        <v>1</v>
      </c>
      <c r="G71" s="62">
        <v>28</v>
      </c>
      <c r="H71" s="62">
        <v>179</v>
      </c>
      <c r="I71" s="62">
        <f t="shared" si="4"/>
        <v>213</v>
      </c>
    </row>
    <row r="72" spans="1:9" ht="17.100000000000001" customHeight="1" x14ac:dyDescent="0.3">
      <c r="A72" s="72" t="s">
        <v>98</v>
      </c>
      <c r="B72" s="73">
        <v>2693</v>
      </c>
      <c r="C72" s="73">
        <v>41610</v>
      </c>
      <c r="D72" s="62">
        <v>5</v>
      </c>
      <c r="E72" s="62">
        <v>0</v>
      </c>
      <c r="F72" s="62">
        <v>2</v>
      </c>
      <c r="G72" s="62">
        <v>103</v>
      </c>
      <c r="H72" s="62">
        <v>225</v>
      </c>
      <c r="I72" s="62">
        <f t="shared" si="4"/>
        <v>335</v>
      </c>
    </row>
    <row r="73" spans="1:9" ht="17.100000000000001" customHeight="1" x14ac:dyDescent="0.3">
      <c r="A73" s="72" t="s">
        <v>99</v>
      </c>
      <c r="B73" s="73">
        <v>639</v>
      </c>
      <c r="C73" s="73">
        <v>12309</v>
      </c>
      <c r="D73" s="62">
        <v>1</v>
      </c>
      <c r="E73" s="62">
        <v>0</v>
      </c>
      <c r="F73" s="62">
        <v>3</v>
      </c>
      <c r="G73" s="62">
        <v>15</v>
      </c>
      <c r="H73" s="62">
        <v>64</v>
      </c>
      <c r="I73" s="62">
        <f t="shared" si="4"/>
        <v>83</v>
      </c>
    </row>
    <row r="74" spans="1:9" ht="17.100000000000001" customHeight="1" x14ac:dyDescent="0.3">
      <c r="A74" s="72" t="s">
        <v>100</v>
      </c>
      <c r="B74" s="73">
        <v>1344</v>
      </c>
      <c r="C74" s="73">
        <v>21116</v>
      </c>
      <c r="D74" s="62">
        <v>9</v>
      </c>
      <c r="E74" s="62">
        <v>0</v>
      </c>
      <c r="F74" s="62">
        <v>1</v>
      </c>
      <c r="G74" s="62">
        <v>47</v>
      </c>
      <c r="H74" s="62">
        <v>74</v>
      </c>
      <c r="I74" s="62">
        <f t="shared" si="4"/>
        <v>131</v>
      </c>
    </row>
    <row r="75" spans="1:9" ht="20.100000000000001" customHeight="1" x14ac:dyDescent="0.3">
      <c r="A75" s="83"/>
      <c r="B75" s="83"/>
      <c r="C75" s="83"/>
      <c r="D75" s="84"/>
      <c r="E75" s="84"/>
      <c r="F75" s="84"/>
      <c r="G75" s="84"/>
      <c r="H75" s="84"/>
      <c r="I75" s="84"/>
    </row>
    <row r="76" spans="1:9" ht="20.100000000000001" customHeight="1" x14ac:dyDescent="0.3">
      <c r="A76" s="83"/>
      <c r="B76" s="83"/>
      <c r="C76" s="83"/>
      <c r="D76" s="84"/>
      <c r="E76" s="84"/>
      <c r="F76" s="84"/>
      <c r="G76" s="84"/>
      <c r="H76" s="84"/>
      <c r="I76" s="84"/>
    </row>
    <row r="77" spans="1:9" ht="20.100000000000001" customHeight="1" x14ac:dyDescent="0.3">
      <c r="A77" s="85" t="s">
        <v>30</v>
      </c>
      <c r="B77" s="85"/>
      <c r="C77" s="85"/>
      <c r="D77" s="85"/>
      <c r="E77" s="85"/>
      <c r="F77" s="85"/>
      <c r="G77" s="85"/>
      <c r="H77" s="85"/>
      <c r="I77" s="85"/>
    </row>
    <row r="78" spans="1:9" ht="20.100000000000001" customHeight="1" x14ac:dyDescent="0.3">
      <c r="A78" s="48" t="s">
        <v>101</v>
      </c>
      <c r="B78" s="48"/>
      <c r="C78" s="48"/>
      <c r="D78" s="48"/>
      <c r="E78" s="48"/>
      <c r="F78" s="48"/>
      <c r="G78" s="48"/>
      <c r="H78" s="48"/>
      <c r="I78" s="48"/>
    </row>
    <row r="79" spans="1:9" ht="20.100000000000001" customHeight="1" x14ac:dyDescent="0.3">
      <c r="A79" s="50" t="s">
        <v>32</v>
      </c>
      <c r="B79" s="51" t="s">
        <v>33</v>
      </c>
      <c r="C79" s="51" t="s">
        <v>34</v>
      </c>
      <c r="D79" s="5" t="s">
        <v>35</v>
      </c>
      <c r="E79" s="5"/>
      <c r="F79" s="5"/>
      <c r="G79" s="5"/>
      <c r="H79" s="5"/>
      <c r="I79" s="4" t="s">
        <v>8</v>
      </c>
    </row>
    <row r="80" spans="1:9" ht="20.100000000000001" customHeight="1" x14ac:dyDescent="0.3">
      <c r="A80" s="52"/>
      <c r="B80" s="52"/>
      <c r="C80" s="52"/>
      <c r="D80" s="4" t="s">
        <v>4</v>
      </c>
      <c r="E80" s="53" t="s">
        <v>36</v>
      </c>
      <c r="F80" s="8" t="s">
        <v>37</v>
      </c>
      <c r="G80" s="8" t="s">
        <v>7</v>
      </c>
      <c r="H80" s="8" t="s">
        <v>7</v>
      </c>
      <c r="I80" s="7"/>
    </row>
    <row r="81" spans="1:9" ht="20.100000000000001" customHeight="1" x14ac:dyDescent="0.3">
      <c r="A81" s="52"/>
      <c r="B81" s="52"/>
      <c r="C81" s="52"/>
      <c r="D81" s="7"/>
      <c r="E81" s="54"/>
      <c r="F81" s="9" t="s">
        <v>38</v>
      </c>
      <c r="G81" s="9" t="s">
        <v>39</v>
      </c>
      <c r="H81" s="9" t="s">
        <v>40</v>
      </c>
      <c r="I81" s="7"/>
    </row>
    <row r="82" spans="1:9" ht="20.100000000000001" customHeight="1" x14ac:dyDescent="0.3">
      <c r="A82" s="55"/>
      <c r="B82" s="55"/>
      <c r="C82" s="55"/>
      <c r="D82" s="10"/>
      <c r="E82" s="10"/>
      <c r="F82" s="11" t="s">
        <v>9</v>
      </c>
      <c r="G82" s="56" t="s">
        <v>41</v>
      </c>
      <c r="H82" s="11" t="s">
        <v>41</v>
      </c>
      <c r="I82" s="10"/>
    </row>
    <row r="83" spans="1:9" ht="17.100000000000001" customHeight="1" x14ac:dyDescent="0.3">
      <c r="A83" s="72" t="s">
        <v>102</v>
      </c>
      <c r="B83" s="73">
        <v>1770</v>
      </c>
      <c r="C83" s="73">
        <v>60160</v>
      </c>
      <c r="D83" s="62">
        <v>10</v>
      </c>
      <c r="E83" s="62">
        <v>0</v>
      </c>
      <c r="F83" s="62">
        <v>8</v>
      </c>
      <c r="G83" s="62">
        <v>133</v>
      </c>
      <c r="H83" s="62">
        <v>394</v>
      </c>
      <c r="I83" s="62">
        <f>SUM(D83:H83)</f>
        <v>545</v>
      </c>
    </row>
    <row r="84" spans="1:9" ht="17.100000000000001" customHeight="1" x14ac:dyDescent="0.3">
      <c r="A84" s="72" t="s">
        <v>103</v>
      </c>
      <c r="B84" s="73">
        <v>556</v>
      </c>
      <c r="C84" s="73">
        <v>10754</v>
      </c>
      <c r="D84" s="62">
        <v>0</v>
      </c>
      <c r="E84" s="62">
        <v>0</v>
      </c>
      <c r="F84" s="62">
        <v>0</v>
      </c>
      <c r="G84" s="62">
        <v>0</v>
      </c>
      <c r="H84" s="62">
        <v>0</v>
      </c>
      <c r="I84" s="62">
        <f>SUM(D84:H84)</f>
        <v>0</v>
      </c>
    </row>
    <row r="85" spans="1:9" ht="17.100000000000001" customHeight="1" x14ac:dyDescent="0.3">
      <c r="A85" s="77" t="s">
        <v>104</v>
      </c>
      <c r="B85" s="78">
        <v>1225</v>
      </c>
      <c r="C85" s="78">
        <v>27223</v>
      </c>
      <c r="D85" s="29">
        <v>3</v>
      </c>
      <c r="E85" s="29">
        <v>0</v>
      </c>
      <c r="F85" s="62">
        <v>0</v>
      </c>
      <c r="G85" s="62">
        <v>70</v>
      </c>
      <c r="H85" s="62">
        <v>109</v>
      </c>
      <c r="I85" s="62">
        <f>SUM(D85:H85)</f>
        <v>182</v>
      </c>
    </row>
    <row r="86" spans="1:9" ht="17.100000000000001" customHeight="1" x14ac:dyDescent="0.3">
      <c r="A86" s="77" t="s">
        <v>105</v>
      </c>
      <c r="B86" s="78">
        <v>2187</v>
      </c>
      <c r="C86" s="78">
        <v>34407</v>
      </c>
      <c r="D86" s="29">
        <v>4</v>
      </c>
      <c r="E86" s="65">
        <v>0</v>
      </c>
      <c r="F86" s="65">
        <v>0</v>
      </c>
      <c r="G86" s="65">
        <v>91</v>
      </c>
      <c r="H86" s="65">
        <v>214</v>
      </c>
      <c r="I86" s="65">
        <f>SUM(D86:H86)</f>
        <v>309</v>
      </c>
    </row>
    <row r="87" spans="1:9" ht="17.100000000000001" customHeight="1" x14ac:dyDescent="0.3">
      <c r="A87" s="80" t="s">
        <v>106</v>
      </c>
      <c r="B87" s="67">
        <f t="shared" ref="B87:I87" si="5">SUM(B43:B84,B85:B86)</f>
        <v>84419</v>
      </c>
      <c r="C87" s="67">
        <f t="shared" si="5"/>
        <v>2942765</v>
      </c>
      <c r="D87" s="38">
        <f t="shared" si="5"/>
        <v>175</v>
      </c>
      <c r="E87" s="38">
        <f t="shared" si="5"/>
        <v>2</v>
      </c>
      <c r="F87" s="38">
        <f t="shared" si="5"/>
        <v>202</v>
      </c>
      <c r="G87" s="38">
        <f t="shared" si="5"/>
        <v>4139</v>
      </c>
      <c r="H87" s="38">
        <f t="shared" si="5"/>
        <v>18452</v>
      </c>
      <c r="I87" s="38">
        <f t="shared" si="5"/>
        <v>22970</v>
      </c>
    </row>
    <row r="88" spans="1:9" ht="20.100000000000001" customHeight="1" x14ac:dyDescent="0.3">
      <c r="A88" s="68" t="s">
        <v>107</v>
      </c>
      <c r="B88" s="69">
        <v>18418</v>
      </c>
      <c r="C88" s="69">
        <v>245103</v>
      </c>
      <c r="D88" s="70">
        <v>15</v>
      </c>
      <c r="E88" s="70">
        <v>1</v>
      </c>
      <c r="F88" s="59">
        <v>8</v>
      </c>
      <c r="G88" s="59">
        <v>344</v>
      </c>
      <c r="H88" s="59">
        <v>1660</v>
      </c>
      <c r="I88" s="59">
        <f t="shared" ref="I88:I109" si="6">SUM(D88:H88)</f>
        <v>2028</v>
      </c>
    </row>
    <row r="89" spans="1:9" ht="20.100000000000001" customHeight="1" x14ac:dyDescent="0.3">
      <c r="A89" s="68" t="s">
        <v>108</v>
      </c>
      <c r="B89" s="69">
        <v>479</v>
      </c>
      <c r="C89" s="69">
        <v>7142</v>
      </c>
      <c r="D89" s="70">
        <v>0</v>
      </c>
      <c r="E89" s="70">
        <v>0</v>
      </c>
      <c r="F89" s="62">
        <v>2</v>
      </c>
      <c r="G89" s="62">
        <v>17</v>
      </c>
      <c r="H89" s="62">
        <v>21</v>
      </c>
      <c r="I89" s="62">
        <f t="shared" si="6"/>
        <v>40</v>
      </c>
    </row>
    <row r="90" spans="1:9" ht="20.100000000000001" customHeight="1" x14ac:dyDescent="0.3">
      <c r="A90" s="72" t="s">
        <v>109</v>
      </c>
      <c r="B90" s="73">
        <v>2617</v>
      </c>
      <c r="C90" s="73">
        <v>80236</v>
      </c>
      <c r="D90" s="62">
        <v>2</v>
      </c>
      <c r="E90" s="70">
        <v>0</v>
      </c>
      <c r="F90" s="62">
        <v>5</v>
      </c>
      <c r="G90" s="62">
        <v>70</v>
      </c>
      <c r="H90" s="62">
        <v>401</v>
      </c>
      <c r="I90" s="62">
        <f t="shared" si="6"/>
        <v>478</v>
      </c>
    </row>
    <row r="91" spans="1:9" ht="20.100000000000001" customHeight="1" x14ac:dyDescent="0.3">
      <c r="A91" s="72" t="s">
        <v>110</v>
      </c>
      <c r="B91" s="73">
        <v>333</v>
      </c>
      <c r="C91" s="73">
        <v>2954</v>
      </c>
      <c r="D91" s="62">
        <v>0</v>
      </c>
      <c r="E91" s="70">
        <v>0</v>
      </c>
      <c r="F91" s="62">
        <v>0</v>
      </c>
      <c r="G91" s="62">
        <v>11</v>
      </c>
      <c r="H91" s="62">
        <v>16</v>
      </c>
      <c r="I91" s="62">
        <f t="shared" si="6"/>
        <v>27</v>
      </c>
    </row>
    <row r="92" spans="1:9" ht="20.100000000000001" customHeight="1" x14ac:dyDescent="0.3">
      <c r="A92" s="72" t="s">
        <v>111</v>
      </c>
      <c r="B92" s="73">
        <v>2813</v>
      </c>
      <c r="C92" s="73">
        <v>49114</v>
      </c>
      <c r="D92" s="62">
        <v>6</v>
      </c>
      <c r="E92" s="70">
        <v>0</v>
      </c>
      <c r="F92" s="62">
        <v>4</v>
      </c>
      <c r="G92" s="62">
        <v>124</v>
      </c>
      <c r="H92" s="62">
        <v>255</v>
      </c>
      <c r="I92" s="62">
        <f t="shared" si="6"/>
        <v>389</v>
      </c>
    </row>
    <row r="93" spans="1:9" ht="20.100000000000001" customHeight="1" x14ac:dyDescent="0.3">
      <c r="A93" s="72" t="s">
        <v>112</v>
      </c>
      <c r="B93" s="73">
        <v>161</v>
      </c>
      <c r="C93" s="73">
        <v>1816</v>
      </c>
      <c r="D93" s="62">
        <v>0</v>
      </c>
      <c r="E93" s="70">
        <v>0</v>
      </c>
      <c r="F93" s="62">
        <v>0</v>
      </c>
      <c r="G93" s="62">
        <v>1</v>
      </c>
      <c r="H93" s="62">
        <v>5</v>
      </c>
      <c r="I93" s="62">
        <f t="shared" si="6"/>
        <v>6</v>
      </c>
    </row>
    <row r="94" spans="1:9" ht="20.100000000000001" customHeight="1" x14ac:dyDescent="0.3">
      <c r="A94" s="72" t="s">
        <v>113</v>
      </c>
      <c r="B94" s="73">
        <v>1297</v>
      </c>
      <c r="C94" s="73">
        <v>19847</v>
      </c>
      <c r="D94" s="62">
        <v>2</v>
      </c>
      <c r="E94" s="62">
        <v>0</v>
      </c>
      <c r="F94" s="62">
        <v>3</v>
      </c>
      <c r="G94" s="62">
        <v>54</v>
      </c>
      <c r="H94" s="62">
        <v>60</v>
      </c>
      <c r="I94" s="62">
        <f t="shared" si="6"/>
        <v>119</v>
      </c>
    </row>
    <row r="95" spans="1:9" ht="20.100000000000001" customHeight="1" x14ac:dyDescent="0.3">
      <c r="A95" s="68" t="s">
        <v>114</v>
      </c>
      <c r="B95" s="69">
        <v>1229</v>
      </c>
      <c r="C95" s="69">
        <v>15820</v>
      </c>
      <c r="D95" s="62">
        <v>0</v>
      </c>
      <c r="E95" s="70">
        <v>0</v>
      </c>
      <c r="F95" s="62">
        <v>3</v>
      </c>
      <c r="G95" s="70">
        <v>47</v>
      </c>
      <c r="H95" s="70">
        <v>74</v>
      </c>
      <c r="I95" s="70">
        <f t="shared" si="6"/>
        <v>124</v>
      </c>
    </row>
    <row r="96" spans="1:9" ht="20.100000000000001" customHeight="1" x14ac:dyDescent="0.3">
      <c r="A96" s="68" t="s">
        <v>115</v>
      </c>
      <c r="B96" s="69">
        <v>222</v>
      </c>
      <c r="C96" s="69">
        <v>2300</v>
      </c>
      <c r="D96" s="62">
        <v>0</v>
      </c>
      <c r="E96" s="70">
        <v>0</v>
      </c>
      <c r="F96" s="62">
        <v>0</v>
      </c>
      <c r="G96" s="70">
        <v>2</v>
      </c>
      <c r="H96" s="70">
        <v>8</v>
      </c>
      <c r="I96" s="70">
        <f t="shared" si="6"/>
        <v>10</v>
      </c>
    </row>
    <row r="97" spans="1:9" ht="20.100000000000001" customHeight="1" x14ac:dyDescent="0.3">
      <c r="A97" s="72" t="s">
        <v>116</v>
      </c>
      <c r="B97" s="73">
        <v>985</v>
      </c>
      <c r="C97" s="73">
        <v>13023</v>
      </c>
      <c r="D97" s="62">
        <v>2</v>
      </c>
      <c r="E97" s="62">
        <v>0</v>
      </c>
      <c r="F97" s="62">
        <v>0</v>
      </c>
      <c r="G97" s="62">
        <v>31</v>
      </c>
      <c r="H97" s="62">
        <v>14</v>
      </c>
      <c r="I97" s="62">
        <f t="shared" si="6"/>
        <v>47</v>
      </c>
    </row>
    <row r="98" spans="1:9" ht="20.100000000000001" customHeight="1" x14ac:dyDescent="0.3">
      <c r="A98" s="68" t="s">
        <v>117</v>
      </c>
      <c r="B98" s="69">
        <v>372</v>
      </c>
      <c r="C98" s="69">
        <v>3850</v>
      </c>
      <c r="D98" s="62">
        <v>1</v>
      </c>
      <c r="E98" s="70">
        <v>0</v>
      </c>
      <c r="F98" s="62">
        <v>0</v>
      </c>
      <c r="G98" s="70">
        <v>17</v>
      </c>
      <c r="H98" s="70">
        <v>2</v>
      </c>
      <c r="I98" s="62">
        <f t="shared" si="6"/>
        <v>20</v>
      </c>
    </row>
    <row r="99" spans="1:9" ht="20.100000000000001" customHeight="1" x14ac:dyDescent="0.3">
      <c r="A99" s="68" t="s">
        <v>118</v>
      </c>
      <c r="B99" s="69">
        <v>1341</v>
      </c>
      <c r="C99" s="69">
        <v>19019</v>
      </c>
      <c r="D99" s="62">
        <v>4</v>
      </c>
      <c r="E99" s="70">
        <v>0</v>
      </c>
      <c r="F99" s="62">
        <v>0</v>
      </c>
      <c r="G99" s="70">
        <v>14</v>
      </c>
      <c r="H99" s="70">
        <v>27</v>
      </c>
      <c r="I99" s="70">
        <f t="shared" si="6"/>
        <v>45</v>
      </c>
    </row>
    <row r="100" spans="1:9" ht="20.100000000000001" customHeight="1" x14ac:dyDescent="0.3">
      <c r="A100" s="72" t="s">
        <v>119</v>
      </c>
      <c r="B100" s="73">
        <v>5800</v>
      </c>
      <c r="C100" s="73">
        <v>75906</v>
      </c>
      <c r="D100" s="62">
        <v>6</v>
      </c>
      <c r="E100" s="70">
        <v>0</v>
      </c>
      <c r="F100" s="62">
        <v>3</v>
      </c>
      <c r="G100" s="62">
        <v>133</v>
      </c>
      <c r="H100" s="62">
        <v>244</v>
      </c>
      <c r="I100" s="70">
        <f t="shared" si="6"/>
        <v>386</v>
      </c>
    </row>
    <row r="101" spans="1:9" ht="20.100000000000001" customHeight="1" x14ac:dyDescent="0.3">
      <c r="A101" s="72" t="s">
        <v>120</v>
      </c>
      <c r="B101" s="73">
        <v>922</v>
      </c>
      <c r="C101" s="73">
        <v>8662</v>
      </c>
      <c r="D101" s="62">
        <v>1</v>
      </c>
      <c r="E101" s="70">
        <v>0</v>
      </c>
      <c r="F101" s="62">
        <v>0</v>
      </c>
      <c r="G101" s="62">
        <v>21</v>
      </c>
      <c r="H101" s="62">
        <v>19</v>
      </c>
      <c r="I101" s="70">
        <f t="shared" si="6"/>
        <v>41</v>
      </c>
    </row>
    <row r="102" spans="1:9" ht="20.100000000000001" customHeight="1" x14ac:dyDescent="0.3">
      <c r="A102" s="72" t="s">
        <v>121</v>
      </c>
      <c r="B102" s="73">
        <v>2735</v>
      </c>
      <c r="C102" s="73">
        <v>49346</v>
      </c>
      <c r="D102" s="62">
        <v>2</v>
      </c>
      <c r="E102" s="70">
        <v>0</v>
      </c>
      <c r="F102" s="62">
        <v>0</v>
      </c>
      <c r="G102" s="62">
        <v>47</v>
      </c>
      <c r="H102" s="62">
        <v>273</v>
      </c>
      <c r="I102" s="62">
        <f t="shared" si="6"/>
        <v>322</v>
      </c>
    </row>
    <row r="103" spans="1:9" ht="20.100000000000001" customHeight="1" x14ac:dyDescent="0.3">
      <c r="A103" s="72" t="s">
        <v>122</v>
      </c>
      <c r="B103" s="73">
        <v>536</v>
      </c>
      <c r="C103" s="73">
        <v>9925</v>
      </c>
      <c r="D103" s="62">
        <v>0</v>
      </c>
      <c r="E103" s="70">
        <v>0</v>
      </c>
      <c r="F103" s="62">
        <v>2</v>
      </c>
      <c r="G103" s="62">
        <v>21</v>
      </c>
      <c r="H103" s="62">
        <v>37</v>
      </c>
      <c r="I103" s="62">
        <f t="shared" si="6"/>
        <v>60</v>
      </c>
    </row>
    <row r="104" spans="1:9" s="76" customFormat="1" ht="20.100000000000001" customHeight="1" x14ac:dyDescent="0.3">
      <c r="A104" s="72" t="s">
        <v>123</v>
      </c>
      <c r="B104" s="73">
        <v>711</v>
      </c>
      <c r="C104" s="73">
        <v>11425</v>
      </c>
      <c r="D104" s="62">
        <v>2</v>
      </c>
      <c r="E104" s="75">
        <v>0</v>
      </c>
      <c r="F104" s="62">
        <v>0</v>
      </c>
      <c r="G104" s="74">
        <v>27</v>
      </c>
      <c r="H104" s="74">
        <v>7</v>
      </c>
      <c r="I104" s="74">
        <f t="shared" si="6"/>
        <v>36</v>
      </c>
    </row>
    <row r="105" spans="1:9" ht="20.100000000000001" customHeight="1" x14ac:dyDescent="0.3">
      <c r="A105" s="68" t="s">
        <v>124</v>
      </c>
      <c r="B105" s="69">
        <v>1939</v>
      </c>
      <c r="C105" s="69">
        <v>35032</v>
      </c>
      <c r="D105" s="62">
        <v>6</v>
      </c>
      <c r="E105" s="70">
        <v>0</v>
      </c>
      <c r="F105" s="62">
        <v>2</v>
      </c>
      <c r="G105" s="62">
        <v>93</v>
      </c>
      <c r="H105" s="62">
        <v>95</v>
      </c>
      <c r="I105" s="62">
        <f t="shared" si="6"/>
        <v>196</v>
      </c>
    </row>
    <row r="106" spans="1:9" ht="20.100000000000001" customHeight="1" x14ac:dyDescent="0.3">
      <c r="A106" s="72" t="s">
        <v>125</v>
      </c>
      <c r="B106" s="73">
        <v>812</v>
      </c>
      <c r="C106" s="73">
        <v>11409</v>
      </c>
      <c r="D106" s="62">
        <v>1</v>
      </c>
      <c r="E106" s="70">
        <v>0</v>
      </c>
      <c r="F106" s="62">
        <v>2</v>
      </c>
      <c r="G106" s="62">
        <v>25</v>
      </c>
      <c r="H106" s="62">
        <v>69</v>
      </c>
      <c r="I106" s="62">
        <f t="shared" si="6"/>
        <v>97</v>
      </c>
    </row>
    <row r="107" spans="1:9" ht="20.100000000000001" customHeight="1" x14ac:dyDescent="0.3">
      <c r="A107" s="72" t="s">
        <v>126</v>
      </c>
      <c r="B107" s="73">
        <v>1366</v>
      </c>
      <c r="C107" s="73">
        <v>26701</v>
      </c>
      <c r="D107" s="62">
        <v>4</v>
      </c>
      <c r="E107" s="70">
        <v>0</v>
      </c>
      <c r="F107" s="62">
        <v>2</v>
      </c>
      <c r="G107" s="62">
        <v>18</v>
      </c>
      <c r="H107" s="62">
        <v>38</v>
      </c>
      <c r="I107" s="62">
        <f t="shared" si="6"/>
        <v>62</v>
      </c>
    </row>
    <row r="108" spans="1:9" ht="20.100000000000001" customHeight="1" x14ac:dyDescent="0.3">
      <c r="A108" s="72" t="s">
        <v>127</v>
      </c>
      <c r="B108" s="73">
        <v>1160</v>
      </c>
      <c r="C108" s="73">
        <v>20193</v>
      </c>
      <c r="D108" s="62">
        <v>0</v>
      </c>
      <c r="E108" s="70">
        <v>0</v>
      </c>
      <c r="F108" s="62">
        <v>2</v>
      </c>
      <c r="G108" s="62">
        <v>33</v>
      </c>
      <c r="H108" s="62">
        <v>43</v>
      </c>
      <c r="I108" s="62">
        <f t="shared" si="6"/>
        <v>78</v>
      </c>
    </row>
    <row r="109" spans="1:9" ht="20.100000000000001" customHeight="1" x14ac:dyDescent="0.3">
      <c r="A109" s="72" t="s">
        <v>128</v>
      </c>
      <c r="B109" s="73">
        <v>2872</v>
      </c>
      <c r="C109" s="73">
        <v>58144</v>
      </c>
      <c r="D109" s="62">
        <v>5</v>
      </c>
      <c r="E109" s="70">
        <v>0</v>
      </c>
      <c r="F109" s="62">
        <v>2</v>
      </c>
      <c r="G109" s="62">
        <v>124</v>
      </c>
      <c r="H109" s="62">
        <v>232</v>
      </c>
      <c r="I109" s="62">
        <f t="shared" si="6"/>
        <v>363</v>
      </c>
    </row>
    <row r="110" spans="1:9" ht="20.100000000000001" customHeight="1" x14ac:dyDescent="0.3">
      <c r="A110" s="91"/>
      <c r="B110" s="91"/>
      <c r="C110" s="91"/>
      <c r="D110" s="92"/>
      <c r="E110" s="92"/>
      <c r="F110" s="92"/>
      <c r="G110" s="92"/>
      <c r="H110" s="92"/>
      <c r="I110" s="92"/>
    </row>
    <row r="111" spans="1:9" ht="20.100000000000001" customHeight="1" x14ac:dyDescent="0.3">
      <c r="A111" s="83"/>
      <c r="B111" s="83"/>
      <c r="C111" s="83"/>
      <c r="D111" s="84"/>
      <c r="E111" s="84"/>
      <c r="F111" s="84"/>
      <c r="G111" s="84"/>
      <c r="H111" s="84"/>
      <c r="I111" s="84"/>
    </row>
    <row r="112" spans="1:9" ht="20.100000000000001" customHeight="1" x14ac:dyDescent="0.3">
      <c r="A112" s="85" t="s">
        <v>30</v>
      </c>
      <c r="B112" s="85"/>
      <c r="C112" s="85"/>
      <c r="D112" s="85"/>
      <c r="E112" s="85"/>
      <c r="F112" s="85"/>
      <c r="G112" s="85"/>
      <c r="H112" s="85"/>
      <c r="I112" s="85"/>
    </row>
    <row r="113" spans="1:9" ht="20.100000000000001" customHeight="1" x14ac:dyDescent="0.3">
      <c r="A113" s="48" t="s">
        <v>68</v>
      </c>
      <c r="B113" s="48"/>
      <c r="C113" s="48"/>
      <c r="D113" s="48"/>
      <c r="E113" s="48"/>
      <c r="F113" s="48"/>
      <c r="G113" s="48"/>
      <c r="H113" s="48"/>
      <c r="I113" s="48"/>
    </row>
    <row r="114" spans="1:9" ht="20.100000000000001" customHeight="1" x14ac:dyDescent="0.3">
      <c r="A114" s="50" t="s">
        <v>32</v>
      </c>
      <c r="B114" s="51" t="s">
        <v>33</v>
      </c>
      <c r="C114" s="51" t="s">
        <v>34</v>
      </c>
      <c r="D114" s="5" t="s">
        <v>35</v>
      </c>
      <c r="E114" s="5"/>
      <c r="F114" s="5"/>
      <c r="G114" s="5"/>
      <c r="H114" s="5"/>
      <c r="I114" s="4" t="s">
        <v>8</v>
      </c>
    </row>
    <row r="115" spans="1:9" ht="20.100000000000001" customHeight="1" x14ac:dyDescent="0.3">
      <c r="A115" s="52"/>
      <c r="B115" s="52"/>
      <c r="C115" s="52"/>
      <c r="D115" s="4" t="s">
        <v>4</v>
      </c>
      <c r="E115" s="53" t="s">
        <v>36</v>
      </c>
      <c r="F115" s="8" t="s">
        <v>37</v>
      </c>
      <c r="G115" s="8" t="s">
        <v>7</v>
      </c>
      <c r="H115" s="8" t="s">
        <v>7</v>
      </c>
      <c r="I115" s="7"/>
    </row>
    <row r="116" spans="1:9" ht="20.100000000000001" customHeight="1" x14ac:dyDescent="0.3">
      <c r="A116" s="52"/>
      <c r="B116" s="52"/>
      <c r="C116" s="52"/>
      <c r="D116" s="7"/>
      <c r="E116" s="54"/>
      <c r="F116" s="9" t="s">
        <v>38</v>
      </c>
      <c r="G116" s="9" t="s">
        <v>39</v>
      </c>
      <c r="H116" s="9" t="s">
        <v>40</v>
      </c>
      <c r="I116" s="7"/>
    </row>
    <row r="117" spans="1:9" ht="20.100000000000001" customHeight="1" x14ac:dyDescent="0.3">
      <c r="A117" s="55"/>
      <c r="B117" s="55"/>
      <c r="C117" s="55"/>
      <c r="D117" s="10"/>
      <c r="E117" s="10"/>
      <c r="F117" s="11" t="s">
        <v>9</v>
      </c>
      <c r="G117" s="56" t="s">
        <v>41</v>
      </c>
      <c r="H117" s="11" t="s">
        <v>41</v>
      </c>
      <c r="I117" s="10"/>
    </row>
    <row r="118" spans="1:9" ht="20.100000000000001" customHeight="1" x14ac:dyDescent="0.3">
      <c r="A118" s="72" t="s">
        <v>129</v>
      </c>
      <c r="B118" s="73">
        <v>389</v>
      </c>
      <c r="C118" s="73">
        <v>6514</v>
      </c>
      <c r="D118" s="62">
        <v>0</v>
      </c>
      <c r="E118" s="70">
        <v>0</v>
      </c>
      <c r="F118" s="62">
        <v>0</v>
      </c>
      <c r="G118" s="62">
        <v>15</v>
      </c>
      <c r="H118" s="62">
        <v>14</v>
      </c>
      <c r="I118" s="62">
        <f>SUM(D118:H118)</f>
        <v>29</v>
      </c>
    </row>
    <row r="119" spans="1:9" ht="20.100000000000001" customHeight="1" x14ac:dyDescent="0.3">
      <c r="A119" s="72" t="s">
        <v>130</v>
      </c>
      <c r="B119" s="73">
        <v>1359</v>
      </c>
      <c r="C119" s="73">
        <v>23191</v>
      </c>
      <c r="D119" s="62">
        <v>2</v>
      </c>
      <c r="E119" s="70">
        <v>0</v>
      </c>
      <c r="F119" s="62">
        <v>4</v>
      </c>
      <c r="G119" s="62">
        <v>54</v>
      </c>
      <c r="H119" s="62">
        <v>86</v>
      </c>
      <c r="I119" s="62">
        <f>SUM(D119:H119)</f>
        <v>146</v>
      </c>
    </row>
    <row r="120" spans="1:9" ht="20.100000000000001" customHeight="1" x14ac:dyDescent="0.3">
      <c r="A120" s="72" t="s">
        <v>131</v>
      </c>
      <c r="B120" s="73">
        <v>1451</v>
      </c>
      <c r="C120" s="73">
        <v>36718</v>
      </c>
      <c r="D120" s="62">
        <v>1</v>
      </c>
      <c r="E120" s="62">
        <v>0</v>
      </c>
      <c r="F120" s="62">
        <v>3</v>
      </c>
      <c r="G120" s="62">
        <v>73</v>
      </c>
      <c r="H120" s="62">
        <v>164</v>
      </c>
      <c r="I120" s="62">
        <f>SUM(D120:H120)</f>
        <v>241</v>
      </c>
    </row>
    <row r="121" spans="1:9" ht="20.100000000000001" customHeight="1" x14ac:dyDescent="0.3">
      <c r="A121" s="87" t="s">
        <v>132</v>
      </c>
      <c r="B121" s="88">
        <v>630</v>
      </c>
      <c r="C121" s="88">
        <v>7221</v>
      </c>
      <c r="D121" s="89">
        <v>7</v>
      </c>
      <c r="E121" s="89">
        <v>0</v>
      </c>
      <c r="F121" s="93">
        <v>0</v>
      </c>
      <c r="G121" s="93">
        <v>9</v>
      </c>
      <c r="H121" s="93">
        <v>6</v>
      </c>
      <c r="I121" s="93">
        <f>SUM(D121:H121)</f>
        <v>22</v>
      </c>
    </row>
    <row r="122" spans="1:9" ht="20.100000000000001" customHeight="1" x14ac:dyDescent="0.3">
      <c r="A122" s="80" t="s">
        <v>133</v>
      </c>
      <c r="B122" s="67">
        <f>SUM(B118:B121,B88:B109)</f>
        <v>52949</v>
      </c>
      <c r="C122" s="67">
        <f>SUM(C118:C121,C88:C109)</f>
        <v>840611</v>
      </c>
      <c r="D122" s="38">
        <f>SUM(D88:D119,D120:D121)</f>
        <v>69</v>
      </c>
      <c r="E122" s="38">
        <f>SUM(E88:E119,E120:E121)</f>
        <v>1</v>
      </c>
      <c r="F122" s="38">
        <f>SUM(F88:F119,F120:F121)</f>
        <v>47</v>
      </c>
      <c r="G122" s="38">
        <f>SUM(G88:G119,G120:G121)</f>
        <v>1425</v>
      </c>
      <c r="H122" s="38">
        <f>SUM(H88:H119,H120:H121)</f>
        <v>3870</v>
      </c>
      <c r="I122" s="38">
        <f>SUM(I88:I109,I118:I121)</f>
        <v>5412</v>
      </c>
    </row>
    <row r="123" spans="1:9" ht="20.100000000000001" customHeight="1" x14ac:dyDescent="0.3">
      <c r="A123" s="68" t="s">
        <v>134</v>
      </c>
      <c r="B123" s="69">
        <v>6642</v>
      </c>
      <c r="C123" s="69">
        <v>194815</v>
      </c>
      <c r="D123" s="70">
        <v>17</v>
      </c>
      <c r="E123" s="70">
        <v>0</v>
      </c>
      <c r="F123" s="59">
        <v>0</v>
      </c>
      <c r="G123" s="59">
        <v>329</v>
      </c>
      <c r="H123" s="59">
        <v>999</v>
      </c>
      <c r="I123" s="59">
        <f t="shared" ref="I123:I144" si="7">SUM(D123:H123)</f>
        <v>1345</v>
      </c>
    </row>
    <row r="124" spans="1:9" ht="20.100000000000001" customHeight="1" x14ac:dyDescent="0.3">
      <c r="A124" s="68" t="s">
        <v>135</v>
      </c>
      <c r="B124" s="69">
        <v>1475</v>
      </c>
      <c r="C124" s="69">
        <v>39228</v>
      </c>
      <c r="D124" s="70">
        <v>5</v>
      </c>
      <c r="E124" s="70">
        <v>0</v>
      </c>
      <c r="F124" s="62">
        <v>7</v>
      </c>
      <c r="G124" s="62">
        <v>135</v>
      </c>
      <c r="H124" s="62">
        <v>321</v>
      </c>
      <c r="I124" s="62">
        <f t="shared" si="7"/>
        <v>468</v>
      </c>
    </row>
    <row r="125" spans="1:9" ht="20.100000000000001" customHeight="1" x14ac:dyDescent="0.3">
      <c r="A125" s="68" t="s">
        <v>136</v>
      </c>
      <c r="B125" s="69">
        <v>1044</v>
      </c>
      <c r="C125" s="69">
        <v>22195</v>
      </c>
      <c r="D125" s="70">
        <v>3</v>
      </c>
      <c r="E125" s="70">
        <v>0</v>
      </c>
      <c r="F125" s="62">
        <v>1</v>
      </c>
      <c r="G125" s="62">
        <v>56</v>
      </c>
      <c r="H125" s="62">
        <v>83</v>
      </c>
      <c r="I125" s="62">
        <f t="shared" si="7"/>
        <v>143</v>
      </c>
    </row>
    <row r="126" spans="1:9" ht="20.100000000000001" customHeight="1" x14ac:dyDescent="0.3">
      <c r="A126" s="72" t="s">
        <v>137</v>
      </c>
      <c r="B126" s="73">
        <v>1572</v>
      </c>
      <c r="C126" s="73">
        <v>32698</v>
      </c>
      <c r="D126" s="62">
        <v>2</v>
      </c>
      <c r="E126" s="70">
        <v>0</v>
      </c>
      <c r="F126" s="62">
        <v>1</v>
      </c>
      <c r="G126" s="62">
        <v>42</v>
      </c>
      <c r="H126" s="62">
        <v>26</v>
      </c>
      <c r="I126" s="62">
        <f t="shared" si="7"/>
        <v>71</v>
      </c>
    </row>
    <row r="127" spans="1:9" ht="20.100000000000001" customHeight="1" x14ac:dyDescent="0.3">
      <c r="A127" s="77" t="s">
        <v>138</v>
      </c>
      <c r="B127" s="78">
        <v>722</v>
      </c>
      <c r="C127" s="78">
        <v>14683</v>
      </c>
      <c r="D127" s="29">
        <v>3</v>
      </c>
      <c r="E127" s="70">
        <v>0</v>
      </c>
      <c r="F127" s="62">
        <v>3</v>
      </c>
      <c r="G127" s="62">
        <v>30</v>
      </c>
      <c r="H127" s="62">
        <v>28</v>
      </c>
      <c r="I127" s="62">
        <f t="shared" si="7"/>
        <v>64</v>
      </c>
    </row>
    <row r="128" spans="1:9" ht="20.100000000000001" customHeight="1" x14ac:dyDescent="0.3">
      <c r="A128" s="77" t="s">
        <v>139</v>
      </c>
      <c r="B128" s="78">
        <v>1864</v>
      </c>
      <c r="C128" s="78">
        <v>38764</v>
      </c>
      <c r="D128" s="29">
        <v>2</v>
      </c>
      <c r="E128" s="70">
        <v>0</v>
      </c>
      <c r="F128" s="62">
        <v>0</v>
      </c>
      <c r="G128" s="62">
        <v>65</v>
      </c>
      <c r="H128" s="62">
        <v>67</v>
      </c>
      <c r="I128" s="62">
        <f t="shared" si="7"/>
        <v>134</v>
      </c>
    </row>
    <row r="129" spans="1:9" ht="20.100000000000001" customHeight="1" x14ac:dyDescent="0.3">
      <c r="A129" s="77" t="s">
        <v>140</v>
      </c>
      <c r="B129" s="78">
        <v>339</v>
      </c>
      <c r="C129" s="78">
        <v>5215</v>
      </c>
      <c r="D129" s="29">
        <v>0</v>
      </c>
      <c r="E129" s="70">
        <v>0</v>
      </c>
      <c r="F129" s="62">
        <v>0</v>
      </c>
      <c r="G129" s="62">
        <v>3</v>
      </c>
      <c r="H129" s="62">
        <v>4</v>
      </c>
      <c r="I129" s="62">
        <f t="shared" si="7"/>
        <v>7</v>
      </c>
    </row>
    <row r="130" spans="1:9" ht="20.100000000000001" customHeight="1" x14ac:dyDescent="0.3">
      <c r="A130" s="72" t="s">
        <v>141</v>
      </c>
      <c r="B130" s="73">
        <v>1824</v>
      </c>
      <c r="C130" s="73">
        <v>34404</v>
      </c>
      <c r="D130" s="29">
        <v>6</v>
      </c>
      <c r="E130" s="70">
        <v>1</v>
      </c>
      <c r="F130" s="62">
        <v>3</v>
      </c>
      <c r="G130" s="62">
        <v>35</v>
      </c>
      <c r="H130" s="62">
        <v>50</v>
      </c>
      <c r="I130" s="62">
        <f t="shared" si="7"/>
        <v>95</v>
      </c>
    </row>
    <row r="131" spans="1:9" ht="20.100000000000001" customHeight="1" x14ac:dyDescent="0.3">
      <c r="A131" s="72" t="s">
        <v>142</v>
      </c>
      <c r="B131" s="73">
        <v>3116</v>
      </c>
      <c r="C131" s="73">
        <v>69091</v>
      </c>
      <c r="D131" s="29">
        <v>4</v>
      </c>
      <c r="E131" s="70">
        <v>0</v>
      </c>
      <c r="F131" s="62">
        <v>3</v>
      </c>
      <c r="G131" s="62">
        <v>91</v>
      </c>
      <c r="H131" s="62">
        <v>99</v>
      </c>
      <c r="I131" s="62">
        <f t="shared" si="7"/>
        <v>197</v>
      </c>
    </row>
    <row r="132" spans="1:9" s="76" customFormat="1" ht="20.100000000000001" customHeight="1" x14ac:dyDescent="0.3">
      <c r="A132" s="72" t="s">
        <v>143</v>
      </c>
      <c r="B132" s="73">
        <v>368</v>
      </c>
      <c r="C132" s="73">
        <v>8263</v>
      </c>
      <c r="D132" s="29">
        <v>0</v>
      </c>
      <c r="E132" s="70">
        <v>0</v>
      </c>
      <c r="F132" s="62">
        <v>2</v>
      </c>
      <c r="G132" s="74">
        <v>16</v>
      </c>
      <c r="H132" s="74">
        <v>93</v>
      </c>
      <c r="I132" s="74">
        <f t="shared" si="7"/>
        <v>111</v>
      </c>
    </row>
    <row r="133" spans="1:9" ht="20.100000000000001" customHeight="1" x14ac:dyDescent="0.3">
      <c r="A133" s="72" t="s">
        <v>144</v>
      </c>
      <c r="B133" s="73">
        <v>797</v>
      </c>
      <c r="C133" s="73">
        <v>15713</v>
      </c>
      <c r="D133" s="29">
        <v>0</v>
      </c>
      <c r="E133" s="70">
        <v>0</v>
      </c>
      <c r="F133" s="62">
        <v>0</v>
      </c>
      <c r="G133" s="62">
        <v>13</v>
      </c>
      <c r="H133" s="62">
        <v>20</v>
      </c>
      <c r="I133" s="62">
        <f t="shared" si="7"/>
        <v>33</v>
      </c>
    </row>
    <row r="134" spans="1:9" ht="20.100000000000001" customHeight="1" x14ac:dyDescent="0.3">
      <c r="A134" s="72" t="s">
        <v>145</v>
      </c>
      <c r="B134" s="73">
        <v>1719</v>
      </c>
      <c r="C134" s="73">
        <v>33605</v>
      </c>
      <c r="D134" s="29">
        <v>4</v>
      </c>
      <c r="E134" s="70">
        <v>1</v>
      </c>
      <c r="F134" s="62">
        <v>1</v>
      </c>
      <c r="G134" s="62">
        <v>51</v>
      </c>
      <c r="H134" s="62">
        <v>60</v>
      </c>
      <c r="I134" s="62">
        <f t="shared" si="7"/>
        <v>117</v>
      </c>
    </row>
    <row r="135" spans="1:9" ht="20.100000000000001" customHeight="1" x14ac:dyDescent="0.3">
      <c r="A135" s="72" t="s">
        <v>146</v>
      </c>
      <c r="B135" s="73">
        <v>548</v>
      </c>
      <c r="C135" s="73">
        <v>10473</v>
      </c>
      <c r="D135" s="29">
        <v>2</v>
      </c>
      <c r="E135" s="70">
        <v>0</v>
      </c>
      <c r="F135" s="62">
        <v>0</v>
      </c>
      <c r="G135" s="62">
        <v>15</v>
      </c>
      <c r="H135" s="62">
        <v>14</v>
      </c>
      <c r="I135" s="62">
        <f t="shared" si="7"/>
        <v>31</v>
      </c>
    </row>
    <row r="136" spans="1:9" ht="20.100000000000001" customHeight="1" x14ac:dyDescent="0.3">
      <c r="A136" s="72" t="s">
        <v>147</v>
      </c>
      <c r="B136" s="73">
        <v>497</v>
      </c>
      <c r="C136" s="73">
        <v>10176</v>
      </c>
      <c r="D136" s="29">
        <v>1</v>
      </c>
      <c r="E136" s="70">
        <v>0</v>
      </c>
      <c r="F136" s="62">
        <v>0</v>
      </c>
      <c r="G136" s="62">
        <v>12</v>
      </c>
      <c r="H136" s="62">
        <v>31</v>
      </c>
      <c r="I136" s="62">
        <f t="shared" si="7"/>
        <v>44</v>
      </c>
    </row>
    <row r="137" spans="1:9" ht="20.100000000000001" customHeight="1" x14ac:dyDescent="0.3">
      <c r="A137" s="72" t="s">
        <v>148</v>
      </c>
      <c r="B137" s="73">
        <v>734</v>
      </c>
      <c r="C137" s="73">
        <v>15426</v>
      </c>
      <c r="D137" s="29">
        <v>6</v>
      </c>
      <c r="E137" s="70">
        <v>0</v>
      </c>
      <c r="F137" s="62">
        <v>3</v>
      </c>
      <c r="G137" s="62">
        <v>23</v>
      </c>
      <c r="H137" s="62">
        <v>41</v>
      </c>
      <c r="I137" s="62">
        <f t="shared" si="7"/>
        <v>73</v>
      </c>
    </row>
    <row r="138" spans="1:9" s="76" customFormat="1" ht="20.100000000000001" customHeight="1" x14ac:dyDescent="0.3">
      <c r="A138" s="72" t="s">
        <v>149</v>
      </c>
      <c r="B138" s="73">
        <v>4661</v>
      </c>
      <c r="C138" s="73">
        <v>116211</v>
      </c>
      <c r="D138" s="29">
        <v>9</v>
      </c>
      <c r="E138" s="75">
        <v>0</v>
      </c>
      <c r="F138" s="62">
        <v>2</v>
      </c>
      <c r="G138" s="74">
        <v>127</v>
      </c>
      <c r="H138" s="74">
        <v>458</v>
      </c>
      <c r="I138" s="74">
        <f t="shared" si="7"/>
        <v>596</v>
      </c>
    </row>
    <row r="139" spans="1:9" ht="20.100000000000001" customHeight="1" x14ac:dyDescent="0.3">
      <c r="A139" s="72" t="s">
        <v>150</v>
      </c>
      <c r="B139" s="73">
        <v>512</v>
      </c>
      <c r="C139" s="73">
        <v>12128</v>
      </c>
      <c r="D139" s="29">
        <v>1</v>
      </c>
      <c r="E139" s="62">
        <v>0</v>
      </c>
      <c r="F139" s="62">
        <v>0</v>
      </c>
      <c r="G139" s="62">
        <v>21</v>
      </c>
      <c r="H139" s="62">
        <v>36</v>
      </c>
      <c r="I139" s="62">
        <f t="shared" si="7"/>
        <v>58</v>
      </c>
    </row>
    <row r="140" spans="1:9" ht="20.100000000000001" customHeight="1" x14ac:dyDescent="0.3">
      <c r="A140" s="72" t="s">
        <v>151</v>
      </c>
      <c r="B140" s="73">
        <v>717</v>
      </c>
      <c r="C140" s="73">
        <v>14994</v>
      </c>
      <c r="D140" s="29">
        <v>0</v>
      </c>
      <c r="E140" s="62">
        <v>0</v>
      </c>
      <c r="F140" s="62">
        <v>1</v>
      </c>
      <c r="G140" s="62">
        <v>27</v>
      </c>
      <c r="H140" s="62">
        <v>29</v>
      </c>
      <c r="I140" s="62">
        <f t="shared" si="7"/>
        <v>57</v>
      </c>
    </row>
    <row r="141" spans="1:9" ht="20.100000000000001" customHeight="1" x14ac:dyDescent="0.3">
      <c r="A141" s="68" t="s">
        <v>152</v>
      </c>
      <c r="B141" s="69">
        <v>3514</v>
      </c>
      <c r="C141" s="69">
        <v>60879</v>
      </c>
      <c r="D141" s="29">
        <v>7</v>
      </c>
      <c r="E141" s="70">
        <v>0</v>
      </c>
      <c r="F141" s="62">
        <v>2</v>
      </c>
      <c r="G141" s="70">
        <v>126</v>
      </c>
      <c r="H141" s="70">
        <v>156</v>
      </c>
      <c r="I141" s="70">
        <f t="shared" si="7"/>
        <v>291</v>
      </c>
    </row>
    <row r="142" spans="1:9" ht="20.100000000000001" customHeight="1" x14ac:dyDescent="0.3">
      <c r="A142" s="72" t="s">
        <v>153</v>
      </c>
      <c r="B142" s="73">
        <v>377</v>
      </c>
      <c r="C142" s="73">
        <v>7032</v>
      </c>
      <c r="D142" s="29">
        <v>0</v>
      </c>
      <c r="E142" s="70">
        <v>0</v>
      </c>
      <c r="F142" s="62">
        <v>0</v>
      </c>
      <c r="G142" s="62">
        <v>11</v>
      </c>
      <c r="H142" s="62">
        <v>21</v>
      </c>
      <c r="I142" s="70">
        <f t="shared" si="7"/>
        <v>32</v>
      </c>
    </row>
    <row r="143" spans="1:9" ht="20.100000000000001" customHeight="1" x14ac:dyDescent="0.3">
      <c r="A143" s="72" t="s">
        <v>154</v>
      </c>
      <c r="B143" s="73">
        <v>1436</v>
      </c>
      <c r="C143" s="73">
        <v>22967</v>
      </c>
      <c r="D143" s="62">
        <v>2</v>
      </c>
      <c r="E143" s="62">
        <v>0</v>
      </c>
      <c r="F143" s="62">
        <v>1</v>
      </c>
      <c r="G143" s="62">
        <v>24</v>
      </c>
      <c r="H143" s="62">
        <v>46</v>
      </c>
      <c r="I143" s="62">
        <f t="shared" si="7"/>
        <v>73</v>
      </c>
    </row>
    <row r="144" spans="1:9" ht="20.100000000000001" customHeight="1" x14ac:dyDescent="0.3">
      <c r="A144" s="68" t="s">
        <v>155</v>
      </c>
      <c r="B144" s="69">
        <v>1339</v>
      </c>
      <c r="C144" s="69">
        <v>17365</v>
      </c>
      <c r="D144" s="70">
        <v>4</v>
      </c>
      <c r="E144" s="70">
        <v>0</v>
      </c>
      <c r="F144" s="62">
        <v>2</v>
      </c>
      <c r="G144" s="70">
        <v>33</v>
      </c>
      <c r="H144" s="70">
        <v>48</v>
      </c>
      <c r="I144" s="70">
        <f t="shared" si="7"/>
        <v>87</v>
      </c>
    </row>
    <row r="145" spans="1:9" ht="20.100000000000001" customHeight="1" x14ac:dyDescent="0.3">
      <c r="A145" s="91"/>
      <c r="B145" s="91"/>
      <c r="C145" s="91"/>
      <c r="D145" s="92"/>
      <c r="E145" s="92"/>
      <c r="F145" s="92"/>
      <c r="G145" s="92"/>
      <c r="H145" s="92"/>
      <c r="I145" s="92"/>
    </row>
    <row r="146" spans="1:9" ht="20.100000000000001" customHeight="1" x14ac:dyDescent="0.3">
      <c r="A146" s="83"/>
      <c r="B146" s="83"/>
      <c r="C146" s="83"/>
      <c r="D146" s="84"/>
      <c r="E146" s="84"/>
      <c r="F146" s="84"/>
      <c r="G146" s="84"/>
      <c r="H146" s="84"/>
      <c r="I146" s="84"/>
    </row>
    <row r="147" spans="1:9" ht="20.100000000000001" customHeight="1" x14ac:dyDescent="0.3">
      <c r="A147" s="85" t="s">
        <v>30</v>
      </c>
      <c r="B147" s="85"/>
      <c r="C147" s="85"/>
      <c r="D147" s="85"/>
      <c r="E147" s="85"/>
      <c r="F147" s="85"/>
      <c r="G147" s="85"/>
      <c r="H147" s="85"/>
      <c r="I147" s="85"/>
    </row>
    <row r="148" spans="1:9" ht="20.100000000000001" customHeight="1" x14ac:dyDescent="0.3">
      <c r="A148" s="48" t="s">
        <v>68</v>
      </c>
      <c r="B148" s="48"/>
      <c r="C148" s="48"/>
      <c r="D148" s="48"/>
      <c r="E148" s="48"/>
      <c r="F148" s="48"/>
      <c r="G148" s="48"/>
      <c r="H148" s="48"/>
      <c r="I148" s="48"/>
    </row>
    <row r="149" spans="1:9" ht="20.100000000000001" customHeight="1" x14ac:dyDescent="0.3">
      <c r="A149" s="50" t="s">
        <v>32</v>
      </c>
      <c r="B149" s="51" t="s">
        <v>33</v>
      </c>
      <c r="C149" s="51" t="s">
        <v>34</v>
      </c>
      <c r="D149" s="5" t="s">
        <v>35</v>
      </c>
      <c r="E149" s="5"/>
      <c r="F149" s="5"/>
      <c r="G149" s="5"/>
      <c r="H149" s="5"/>
      <c r="I149" s="4" t="s">
        <v>8</v>
      </c>
    </row>
    <row r="150" spans="1:9" ht="20.100000000000001" customHeight="1" x14ac:dyDescent="0.3">
      <c r="A150" s="52"/>
      <c r="B150" s="52"/>
      <c r="C150" s="52"/>
      <c r="D150" s="4" t="s">
        <v>4</v>
      </c>
      <c r="E150" s="53" t="s">
        <v>36</v>
      </c>
      <c r="F150" s="8" t="s">
        <v>37</v>
      </c>
      <c r="G150" s="8" t="s">
        <v>7</v>
      </c>
      <c r="H150" s="8" t="s">
        <v>7</v>
      </c>
      <c r="I150" s="7"/>
    </row>
    <row r="151" spans="1:9" ht="20.100000000000001" customHeight="1" x14ac:dyDescent="0.3">
      <c r="A151" s="52"/>
      <c r="B151" s="52"/>
      <c r="C151" s="52"/>
      <c r="D151" s="7"/>
      <c r="E151" s="54"/>
      <c r="F151" s="9" t="s">
        <v>38</v>
      </c>
      <c r="G151" s="9" t="s">
        <v>39</v>
      </c>
      <c r="H151" s="9" t="s">
        <v>40</v>
      </c>
      <c r="I151" s="7"/>
    </row>
    <row r="152" spans="1:9" ht="20.100000000000001" customHeight="1" x14ac:dyDescent="0.3">
      <c r="A152" s="55"/>
      <c r="B152" s="55"/>
      <c r="C152" s="55"/>
      <c r="D152" s="10"/>
      <c r="E152" s="10"/>
      <c r="F152" s="11" t="s">
        <v>9</v>
      </c>
      <c r="G152" s="56" t="s">
        <v>41</v>
      </c>
      <c r="H152" s="11" t="s">
        <v>41</v>
      </c>
      <c r="I152" s="10"/>
    </row>
    <row r="153" spans="1:9" ht="20.100000000000001" customHeight="1" x14ac:dyDescent="0.3">
      <c r="A153" s="72" t="s">
        <v>156</v>
      </c>
      <c r="B153" s="73">
        <v>1648</v>
      </c>
      <c r="C153" s="73">
        <v>32740</v>
      </c>
      <c r="D153" s="62">
        <v>1</v>
      </c>
      <c r="E153" s="70">
        <v>0</v>
      </c>
      <c r="F153" s="62">
        <v>4</v>
      </c>
      <c r="G153" s="62">
        <v>46</v>
      </c>
      <c r="H153" s="62">
        <v>78</v>
      </c>
      <c r="I153" s="62">
        <f t="shared" ref="I153:I160" si="8">SUM(D153:H153)</f>
        <v>129</v>
      </c>
    </row>
    <row r="154" spans="1:9" ht="20.100000000000001" customHeight="1" x14ac:dyDescent="0.3">
      <c r="A154" s="72" t="s">
        <v>157</v>
      </c>
      <c r="B154" s="73">
        <v>1876</v>
      </c>
      <c r="C154" s="73">
        <v>33080</v>
      </c>
      <c r="D154" s="62">
        <v>1</v>
      </c>
      <c r="E154" s="70">
        <v>0</v>
      </c>
      <c r="F154" s="62">
        <v>0</v>
      </c>
      <c r="G154" s="62">
        <v>24</v>
      </c>
      <c r="H154" s="62">
        <v>51</v>
      </c>
      <c r="I154" s="62">
        <f t="shared" si="8"/>
        <v>76</v>
      </c>
    </row>
    <row r="155" spans="1:9" ht="20.100000000000001" customHeight="1" x14ac:dyDescent="0.3">
      <c r="A155" s="72" t="s">
        <v>158</v>
      </c>
      <c r="B155" s="73">
        <v>389</v>
      </c>
      <c r="C155" s="73">
        <v>6570</v>
      </c>
      <c r="D155" s="62">
        <v>3</v>
      </c>
      <c r="E155" s="70">
        <v>0</v>
      </c>
      <c r="F155" s="62">
        <v>0</v>
      </c>
      <c r="G155" s="62">
        <v>6</v>
      </c>
      <c r="H155" s="62">
        <v>18</v>
      </c>
      <c r="I155" s="62">
        <f t="shared" si="8"/>
        <v>27</v>
      </c>
    </row>
    <row r="156" spans="1:9" ht="20.100000000000001" customHeight="1" x14ac:dyDescent="0.3">
      <c r="A156" s="72" t="s">
        <v>159</v>
      </c>
      <c r="B156" s="73">
        <v>1322</v>
      </c>
      <c r="C156" s="73">
        <v>28204</v>
      </c>
      <c r="D156" s="62">
        <v>2</v>
      </c>
      <c r="E156" s="70">
        <v>0</v>
      </c>
      <c r="F156" s="62">
        <v>1</v>
      </c>
      <c r="G156" s="62">
        <v>32</v>
      </c>
      <c r="H156" s="62">
        <v>30</v>
      </c>
      <c r="I156" s="62">
        <f t="shared" si="8"/>
        <v>65</v>
      </c>
    </row>
    <row r="157" spans="1:9" ht="20.100000000000001" customHeight="1" x14ac:dyDescent="0.3">
      <c r="A157" s="72" t="s">
        <v>160</v>
      </c>
      <c r="B157" s="73">
        <v>1373</v>
      </c>
      <c r="C157" s="73">
        <v>27415</v>
      </c>
      <c r="D157" s="62">
        <v>0</v>
      </c>
      <c r="E157" s="70">
        <v>1</v>
      </c>
      <c r="F157" s="62">
        <v>1</v>
      </c>
      <c r="G157" s="62">
        <v>31</v>
      </c>
      <c r="H157" s="62">
        <v>32</v>
      </c>
      <c r="I157" s="62">
        <f t="shared" si="8"/>
        <v>65</v>
      </c>
    </row>
    <row r="158" spans="1:9" ht="20.100000000000001" customHeight="1" x14ac:dyDescent="0.3">
      <c r="A158" s="72" t="s">
        <v>161</v>
      </c>
      <c r="B158" s="73">
        <v>633</v>
      </c>
      <c r="C158" s="73">
        <v>9972</v>
      </c>
      <c r="D158" s="62">
        <v>6</v>
      </c>
      <c r="E158" s="62">
        <v>2</v>
      </c>
      <c r="F158" s="62">
        <v>1</v>
      </c>
      <c r="G158" s="62">
        <v>9</v>
      </c>
      <c r="H158" s="62">
        <v>10</v>
      </c>
      <c r="I158" s="62">
        <f t="shared" si="8"/>
        <v>28</v>
      </c>
    </row>
    <row r="159" spans="1:9" ht="20.100000000000001" customHeight="1" x14ac:dyDescent="0.3">
      <c r="A159" s="72" t="s">
        <v>162</v>
      </c>
      <c r="B159" s="73">
        <v>1069</v>
      </c>
      <c r="C159" s="73">
        <v>20703</v>
      </c>
      <c r="D159" s="62">
        <v>2</v>
      </c>
      <c r="E159" s="70">
        <v>0</v>
      </c>
      <c r="F159" s="62">
        <v>0</v>
      </c>
      <c r="G159" s="62">
        <v>22</v>
      </c>
      <c r="H159" s="62">
        <v>20</v>
      </c>
      <c r="I159" s="62">
        <f t="shared" si="8"/>
        <v>44</v>
      </c>
    </row>
    <row r="160" spans="1:9" ht="20.100000000000001" customHeight="1" x14ac:dyDescent="0.3">
      <c r="A160" s="77" t="s">
        <v>163</v>
      </c>
      <c r="B160" s="78">
        <v>1067</v>
      </c>
      <c r="C160" s="78">
        <v>15010</v>
      </c>
      <c r="D160" s="29">
        <v>2</v>
      </c>
      <c r="E160" s="29">
        <v>0</v>
      </c>
      <c r="F160" s="65">
        <v>6</v>
      </c>
      <c r="G160" s="65">
        <v>21</v>
      </c>
      <c r="H160" s="65">
        <v>26</v>
      </c>
      <c r="I160" s="65">
        <f t="shared" si="8"/>
        <v>55</v>
      </c>
    </row>
    <row r="161" spans="1:9" ht="20.100000000000001" customHeight="1" x14ac:dyDescent="0.3">
      <c r="A161" s="80" t="s">
        <v>164</v>
      </c>
      <c r="B161" s="67">
        <f t="shared" ref="B161:I161" si="9">SUM(B123:B153,B154:B160)</f>
        <v>45194</v>
      </c>
      <c r="C161" s="67">
        <f t="shared" si="9"/>
        <v>970019</v>
      </c>
      <c r="D161" s="38">
        <f t="shared" si="9"/>
        <v>95</v>
      </c>
      <c r="E161" s="38">
        <f t="shared" si="9"/>
        <v>5</v>
      </c>
      <c r="F161" s="38">
        <f t="shared" si="9"/>
        <v>45</v>
      </c>
      <c r="G161" s="38">
        <f t="shared" si="9"/>
        <v>1476</v>
      </c>
      <c r="H161" s="38">
        <f t="shared" si="9"/>
        <v>2995</v>
      </c>
      <c r="I161" s="38">
        <f t="shared" si="9"/>
        <v>4616</v>
      </c>
    </row>
    <row r="162" spans="1:9" ht="20.100000000000001" customHeight="1" x14ac:dyDescent="0.3">
      <c r="A162" s="94" t="s">
        <v>165</v>
      </c>
      <c r="B162" s="95">
        <v>2365</v>
      </c>
      <c r="C162" s="95">
        <v>39884</v>
      </c>
      <c r="D162" s="59">
        <v>5</v>
      </c>
      <c r="E162" s="59">
        <v>0</v>
      </c>
      <c r="F162" s="59">
        <v>1</v>
      </c>
      <c r="G162" s="59">
        <v>130</v>
      </c>
      <c r="H162" s="59">
        <v>109</v>
      </c>
      <c r="I162" s="59">
        <f t="shared" ref="I162:I178" si="10">SUM(D162:H162)</f>
        <v>245</v>
      </c>
    </row>
    <row r="163" spans="1:9" ht="20.100000000000001" customHeight="1" x14ac:dyDescent="0.3">
      <c r="A163" s="68" t="s">
        <v>166</v>
      </c>
      <c r="B163" s="69">
        <v>959</v>
      </c>
      <c r="C163" s="69">
        <v>20621</v>
      </c>
      <c r="D163" s="70">
        <v>0</v>
      </c>
      <c r="E163" s="62">
        <v>1</v>
      </c>
      <c r="F163" s="62">
        <v>1</v>
      </c>
      <c r="G163" s="62">
        <v>118</v>
      </c>
      <c r="H163" s="62">
        <v>162</v>
      </c>
      <c r="I163" s="62">
        <f t="shared" si="10"/>
        <v>282</v>
      </c>
    </row>
    <row r="164" spans="1:9" ht="20.100000000000001" customHeight="1" x14ac:dyDescent="0.3">
      <c r="A164" s="68" t="s">
        <v>167</v>
      </c>
      <c r="B164" s="69">
        <v>551</v>
      </c>
      <c r="C164" s="69">
        <v>8572</v>
      </c>
      <c r="D164" s="70">
        <v>2</v>
      </c>
      <c r="E164" s="62">
        <v>1</v>
      </c>
      <c r="F164" s="62">
        <v>2</v>
      </c>
      <c r="G164" s="62">
        <v>34</v>
      </c>
      <c r="H164" s="62">
        <v>120</v>
      </c>
      <c r="I164" s="62">
        <f t="shared" si="10"/>
        <v>159</v>
      </c>
    </row>
    <row r="165" spans="1:9" ht="20.100000000000001" customHeight="1" x14ac:dyDescent="0.3">
      <c r="A165" s="72" t="s">
        <v>168</v>
      </c>
      <c r="B165" s="73">
        <v>2480</v>
      </c>
      <c r="C165" s="73">
        <v>41523</v>
      </c>
      <c r="D165" s="62">
        <v>4</v>
      </c>
      <c r="E165" s="62">
        <v>0</v>
      </c>
      <c r="F165" s="62">
        <v>1</v>
      </c>
      <c r="G165" s="62">
        <v>150</v>
      </c>
      <c r="H165" s="62">
        <v>212</v>
      </c>
      <c r="I165" s="62">
        <f t="shared" si="10"/>
        <v>367</v>
      </c>
    </row>
    <row r="166" spans="1:9" ht="20.100000000000001" customHeight="1" x14ac:dyDescent="0.3">
      <c r="A166" s="72" t="s">
        <v>169</v>
      </c>
      <c r="B166" s="73">
        <v>550</v>
      </c>
      <c r="C166" s="73">
        <v>8006</v>
      </c>
      <c r="D166" s="62">
        <v>0</v>
      </c>
      <c r="E166" s="62">
        <v>0</v>
      </c>
      <c r="F166" s="62">
        <v>1</v>
      </c>
      <c r="G166" s="62">
        <v>53</v>
      </c>
      <c r="H166" s="62">
        <v>24</v>
      </c>
      <c r="I166" s="62">
        <f t="shared" si="10"/>
        <v>78</v>
      </c>
    </row>
    <row r="167" spans="1:9" ht="20.100000000000001" customHeight="1" x14ac:dyDescent="0.3">
      <c r="A167" s="72" t="s">
        <v>170</v>
      </c>
      <c r="B167" s="73">
        <v>1312</v>
      </c>
      <c r="C167" s="73">
        <v>27084</v>
      </c>
      <c r="D167" s="62">
        <v>6</v>
      </c>
      <c r="E167" s="62">
        <v>0</v>
      </c>
      <c r="F167" s="62">
        <v>0</v>
      </c>
      <c r="G167" s="62">
        <v>46</v>
      </c>
      <c r="H167" s="62">
        <v>104</v>
      </c>
      <c r="I167" s="62">
        <f t="shared" si="10"/>
        <v>156</v>
      </c>
    </row>
    <row r="168" spans="1:9" ht="20.100000000000001" customHeight="1" x14ac:dyDescent="0.3">
      <c r="A168" s="77" t="s">
        <v>171</v>
      </c>
      <c r="B168" s="78">
        <v>8720</v>
      </c>
      <c r="C168" s="78">
        <v>106445</v>
      </c>
      <c r="D168" s="29">
        <v>7</v>
      </c>
      <c r="E168" s="62">
        <v>0</v>
      </c>
      <c r="F168" s="62">
        <v>2</v>
      </c>
      <c r="G168" s="62">
        <v>330</v>
      </c>
      <c r="H168" s="62">
        <v>602</v>
      </c>
      <c r="I168" s="62">
        <f t="shared" si="10"/>
        <v>941</v>
      </c>
    </row>
    <row r="169" spans="1:9" ht="20.100000000000001" customHeight="1" x14ac:dyDescent="0.3">
      <c r="A169" s="77" t="s">
        <v>172</v>
      </c>
      <c r="B169" s="78">
        <v>5235</v>
      </c>
      <c r="C169" s="78">
        <v>86546</v>
      </c>
      <c r="D169" s="29">
        <v>3</v>
      </c>
      <c r="E169" s="62">
        <v>0</v>
      </c>
      <c r="F169" s="62">
        <v>3</v>
      </c>
      <c r="G169" s="62">
        <v>208</v>
      </c>
      <c r="H169" s="62">
        <v>890</v>
      </c>
      <c r="I169" s="62">
        <f t="shared" si="10"/>
        <v>1104</v>
      </c>
    </row>
    <row r="170" spans="1:9" ht="20.100000000000001" customHeight="1" x14ac:dyDescent="0.3">
      <c r="A170" s="72" t="s">
        <v>173</v>
      </c>
      <c r="B170" s="73">
        <v>3929</v>
      </c>
      <c r="C170" s="73">
        <v>88794</v>
      </c>
      <c r="D170" s="62">
        <v>14</v>
      </c>
      <c r="E170" s="62">
        <v>0</v>
      </c>
      <c r="F170" s="62">
        <v>13</v>
      </c>
      <c r="G170" s="62">
        <v>472</v>
      </c>
      <c r="H170" s="62">
        <v>458</v>
      </c>
      <c r="I170" s="62">
        <f t="shared" si="10"/>
        <v>957</v>
      </c>
    </row>
    <row r="171" spans="1:9" ht="20.100000000000001" customHeight="1" x14ac:dyDescent="0.3">
      <c r="A171" s="72" t="s">
        <v>174</v>
      </c>
      <c r="B171" s="73">
        <v>4693</v>
      </c>
      <c r="C171" s="73">
        <v>42050</v>
      </c>
      <c r="D171" s="62">
        <v>2</v>
      </c>
      <c r="E171" s="62">
        <v>1</v>
      </c>
      <c r="F171" s="62">
        <v>0</v>
      </c>
      <c r="G171" s="62">
        <v>44</v>
      </c>
      <c r="H171" s="62">
        <v>261</v>
      </c>
      <c r="I171" s="62">
        <f t="shared" si="10"/>
        <v>308</v>
      </c>
    </row>
    <row r="172" spans="1:9" ht="20.100000000000001" customHeight="1" x14ac:dyDescent="0.3">
      <c r="A172" s="72" t="s">
        <v>175</v>
      </c>
      <c r="B172" s="73">
        <v>2044</v>
      </c>
      <c r="C172" s="73">
        <v>26266</v>
      </c>
      <c r="D172" s="62">
        <v>4</v>
      </c>
      <c r="E172" s="62">
        <v>0</v>
      </c>
      <c r="F172" s="62">
        <v>1</v>
      </c>
      <c r="G172" s="62">
        <v>58</v>
      </c>
      <c r="H172" s="62">
        <v>160</v>
      </c>
      <c r="I172" s="62">
        <f t="shared" si="10"/>
        <v>223</v>
      </c>
    </row>
    <row r="173" spans="1:9" ht="20.100000000000001" customHeight="1" x14ac:dyDescent="0.3">
      <c r="A173" s="72" t="s">
        <v>176</v>
      </c>
      <c r="B173" s="73">
        <v>2107</v>
      </c>
      <c r="C173" s="73">
        <v>36370</v>
      </c>
      <c r="D173" s="62">
        <v>8</v>
      </c>
      <c r="E173" s="62">
        <v>0</v>
      </c>
      <c r="F173" s="62">
        <v>9</v>
      </c>
      <c r="G173" s="62">
        <v>124</v>
      </c>
      <c r="H173" s="62">
        <v>66</v>
      </c>
      <c r="I173" s="62">
        <f t="shared" si="10"/>
        <v>207</v>
      </c>
    </row>
    <row r="174" spans="1:9" ht="20.100000000000001" customHeight="1" x14ac:dyDescent="0.3">
      <c r="A174" s="72" t="s">
        <v>177</v>
      </c>
      <c r="B174" s="73">
        <v>1868</v>
      </c>
      <c r="C174" s="73">
        <v>53401</v>
      </c>
      <c r="D174" s="62">
        <v>8</v>
      </c>
      <c r="E174" s="62">
        <v>0</v>
      </c>
      <c r="F174" s="62">
        <v>1</v>
      </c>
      <c r="G174" s="62">
        <v>200</v>
      </c>
      <c r="H174" s="62">
        <v>203</v>
      </c>
      <c r="I174" s="62">
        <f t="shared" si="10"/>
        <v>412</v>
      </c>
    </row>
    <row r="175" spans="1:9" ht="20.100000000000001" customHeight="1" x14ac:dyDescent="0.3">
      <c r="A175" s="72" t="s">
        <v>178</v>
      </c>
      <c r="B175" s="73">
        <v>6376</v>
      </c>
      <c r="C175" s="73">
        <v>123175</v>
      </c>
      <c r="D175" s="62">
        <v>11</v>
      </c>
      <c r="E175" s="62">
        <v>0</v>
      </c>
      <c r="F175" s="62">
        <v>4</v>
      </c>
      <c r="G175" s="62">
        <v>572</v>
      </c>
      <c r="H175" s="62">
        <v>579</v>
      </c>
      <c r="I175" s="62">
        <f t="shared" si="10"/>
        <v>1166</v>
      </c>
    </row>
    <row r="176" spans="1:9" ht="20.100000000000001" customHeight="1" x14ac:dyDescent="0.3">
      <c r="A176" s="72" t="s">
        <v>179</v>
      </c>
      <c r="B176" s="73">
        <v>811</v>
      </c>
      <c r="C176" s="73">
        <v>23708</v>
      </c>
      <c r="D176" s="62">
        <v>2</v>
      </c>
      <c r="E176" s="62">
        <v>0</v>
      </c>
      <c r="F176" s="62">
        <v>2</v>
      </c>
      <c r="G176" s="62">
        <v>208</v>
      </c>
      <c r="H176" s="62">
        <v>264</v>
      </c>
      <c r="I176" s="62">
        <f t="shared" si="10"/>
        <v>476</v>
      </c>
    </row>
    <row r="177" spans="1:9" ht="20.100000000000001" customHeight="1" x14ac:dyDescent="0.3">
      <c r="A177" s="72" t="s">
        <v>180</v>
      </c>
      <c r="B177" s="73">
        <v>735</v>
      </c>
      <c r="C177" s="73">
        <v>13958</v>
      </c>
      <c r="D177" s="62">
        <v>2</v>
      </c>
      <c r="E177" s="62">
        <v>0</v>
      </c>
      <c r="F177" s="62">
        <v>3</v>
      </c>
      <c r="G177" s="62">
        <v>102</v>
      </c>
      <c r="H177" s="62">
        <v>71</v>
      </c>
      <c r="I177" s="62">
        <f t="shared" si="10"/>
        <v>178</v>
      </c>
    </row>
    <row r="178" spans="1:9" ht="20.100000000000001" customHeight="1" x14ac:dyDescent="0.3">
      <c r="A178" s="72" t="s">
        <v>181</v>
      </c>
      <c r="B178" s="73">
        <v>1980</v>
      </c>
      <c r="C178" s="73">
        <v>37268</v>
      </c>
      <c r="D178" s="62">
        <v>4</v>
      </c>
      <c r="E178" s="62">
        <v>0</v>
      </c>
      <c r="F178" s="62">
        <v>4</v>
      </c>
      <c r="G178" s="62">
        <v>227</v>
      </c>
      <c r="H178" s="62">
        <v>233</v>
      </c>
      <c r="I178" s="62">
        <f t="shared" si="10"/>
        <v>468</v>
      </c>
    </row>
    <row r="179" spans="1:9" ht="20.100000000000001" customHeight="1" x14ac:dyDescent="0.3">
      <c r="A179" s="91"/>
      <c r="B179" s="91"/>
      <c r="C179" s="91"/>
      <c r="D179" s="92"/>
      <c r="E179" s="92"/>
      <c r="F179" s="92"/>
      <c r="G179" s="92"/>
      <c r="H179" s="92"/>
      <c r="I179" s="92"/>
    </row>
    <row r="180" spans="1:9" ht="20.100000000000001" customHeight="1" x14ac:dyDescent="0.3">
      <c r="A180" s="91"/>
      <c r="B180" s="91"/>
      <c r="C180" s="91"/>
      <c r="D180" s="92"/>
      <c r="E180" s="92"/>
      <c r="F180" s="92"/>
      <c r="G180" s="92"/>
      <c r="H180" s="92"/>
      <c r="I180" s="92"/>
    </row>
    <row r="181" spans="1:9" ht="20.100000000000001" customHeight="1" x14ac:dyDescent="0.3">
      <c r="A181" s="91"/>
      <c r="B181" s="91"/>
      <c r="C181" s="91"/>
      <c r="D181" s="92"/>
      <c r="E181" s="92"/>
      <c r="F181" s="92"/>
      <c r="G181" s="92"/>
      <c r="H181" s="92"/>
      <c r="I181" s="92"/>
    </row>
    <row r="182" spans="1:9" ht="20.100000000000001" customHeight="1" x14ac:dyDescent="0.3">
      <c r="A182" s="85" t="s">
        <v>30</v>
      </c>
      <c r="B182" s="85"/>
      <c r="C182" s="85"/>
      <c r="D182" s="85"/>
      <c r="E182" s="85"/>
      <c r="F182" s="85"/>
      <c r="G182" s="85"/>
      <c r="H182" s="85"/>
      <c r="I182" s="85"/>
    </row>
    <row r="183" spans="1:9" ht="20.100000000000001" customHeight="1" x14ac:dyDescent="0.3">
      <c r="A183" s="48" t="s">
        <v>68</v>
      </c>
      <c r="B183" s="48"/>
      <c r="C183" s="48"/>
      <c r="D183" s="48"/>
      <c r="E183" s="48"/>
      <c r="F183" s="48"/>
      <c r="G183" s="48"/>
      <c r="H183" s="48"/>
      <c r="I183" s="48"/>
    </row>
    <row r="184" spans="1:9" ht="20.100000000000001" customHeight="1" x14ac:dyDescent="0.3">
      <c r="A184" s="50" t="s">
        <v>32</v>
      </c>
      <c r="B184" s="51" t="s">
        <v>33</v>
      </c>
      <c r="C184" s="51" t="s">
        <v>34</v>
      </c>
      <c r="D184" s="5" t="s">
        <v>35</v>
      </c>
      <c r="E184" s="5"/>
      <c r="F184" s="5"/>
      <c r="G184" s="5"/>
      <c r="H184" s="5"/>
      <c r="I184" s="4" t="s">
        <v>8</v>
      </c>
    </row>
    <row r="185" spans="1:9" ht="20.100000000000001" customHeight="1" x14ac:dyDescent="0.3">
      <c r="A185" s="52"/>
      <c r="B185" s="52"/>
      <c r="C185" s="52"/>
      <c r="D185" s="4" t="s">
        <v>4</v>
      </c>
      <c r="E185" s="53" t="s">
        <v>36</v>
      </c>
      <c r="F185" s="8" t="s">
        <v>37</v>
      </c>
      <c r="G185" s="8" t="s">
        <v>7</v>
      </c>
      <c r="H185" s="8" t="s">
        <v>7</v>
      </c>
      <c r="I185" s="7"/>
    </row>
    <row r="186" spans="1:9" ht="20.100000000000001" customHeight="1" x14ac:dyDescent="0.3">
      <c r="A186" s="52"/>
      <c r="B186" s="52"/>
      <c r="C186" s="52"/>
      <c r="D186" s="7"/>
      <c r="E186" s="54"/>
      <c r="F186" s="9" t="s">
        <v>38</v>
      </c>
      <c r="G186" s="9" t="s">
        <v>39</v>
      </c>
      <c r="H186" s="9" t="s">
        <v>40</v>
      </c>
      <c r="I186" s="7"/>
    </row>
    <row r="187" spans="1:9" ht="20.100000000000001" customHeight="1" x14ac:dyDescent="0.3">
      <c r="A187" s="55"/>
      <c r="B187" s="55"/>
      <c r="C187" s="55"/>
      <c r="D187" s="10"/>
      <c r="E187" s="10"/>
      <c r="F187" s="11" t="s">
        <v>9</v>
      </c>
      <c r="G187" s="56" t="s">
        <v>41</v>
      </c>
      <c r="H187" s="11" t="s">
        <v>41</v>
      </c>
      <c r="I187" s="10"/>
    </row>
    <row r="188" spans="1:9" s="76" customFormat="1" ht="20.100000000000001" customHeight="1" x14ac:dyDescent="0.3">
      <c r="A188" s="72" t="s">
        <v>182</v>
      </c>
      <c r="B188" s="73">
        <v>329</v>
      </c>
      <c r="C188" s="73">
        <v>6790</v>
      </c>
      <c r="D188" s="74">
        <v>0</v>
      </c>
      <c r="E188" s="74">
        <v>0</v>
      </c>
      <c r="F188" s="74">
        <v>1</v>
      </c>
      <c r="G188" s="74">
        <v>70</v>
      </c>
      <c r="H188" s="74">
        <v>116</v>
      </c>
      <c r="I188" s="74">
        <f>SUM(D188:H188)</f>
        <v>187</v>
      </c>
    </row>
    <row r="189" spans="1:9" ht="20.100000000000001" customHeight="1" x14ac:dyDescent="0.3">
      <c r="A189" s="72" t="s">
        <v>183</v>
      </c>
      <c r="B189" s="73">
        <v>1324</v>
      </c>
      <c r="C189" s="73">
        <v>20509</v>
      </c>
      <c r="D189" s="62">
        <v>3</v>
      </c>
      <c r="E189" s="62">
        <v>1</v>
      </c>
      <c r="F189" s="62">
        <v>2</v>
      </c>
      <c r="G189" s="62">
        <v>98</v>
      </c>
      <c r="H189" s="62">
        <v>52</v>
      </c>
      <c r="I189" s="62">
        <f>SUM(D189:H189)</f>
        <v>156</v>
      </c>
    </row>
    <row r="190" spans="1:9" ht="20.100000000000001" customHeight="1" x14ac:dyDescent="0.3">
      <c r="A190" s="72" t="s">
        <v>184</v>
      </c>
      <c r="B190" s="73">
        <v>1539</v>
      </c>
      <c r="C190" s="73">
        <v>25632</v>
      </c>
      <c r="D190" s="62">
        <v>4</v>
      </c>
      <c r="E190" s="62">
        <v>0</v>
      </c>
      <c r="F190" s="62">
        <v>3</v>
      </c>
      <c r="G190" s="62">
        <v>61</v>
      </c>
      <c r="H190" s="62">
        <v>39</v>
      </c>
      <c r="I190" s="62">
        <f>SUM(D190:H190)</f>
        <v>107</v>
      </c>
    </row>
    <row r="191" spans="1:9" ht="20.100000000000001" customHeight="1" x14ac:dyDescent="0.3">
      <c r="A191" s="72" t="s">
        <v>185</v>
      </c>
      <c r="B191" s="73">
        <v>1426</v>
      </c>
      <c r="C191" s="73">
        <v>24627</v>
      </c>
      <c r="D191" s="62">
        <v>0</v>
      </c>
      <c r="E191" s="62">
        <v>0</v>
      </c>
      <c r="F191" s="62">
        <v>1</v>
      </c>
      <c r="G191" s="62">
        <v>59</v>
      </c>
      <c r="H191" s="62">
        <v>42</v>
      </c>
      <c r="I191" s="62">
        <f>SUM(D191:H191)</f>
        <v>102</v>
      </c>
    </row>
    <row r="192" spans="1:9" ht="20.100000000000001" customHeight="1" x14ac:dyDescent="0.3">
      <c r="A192" s="96" t="s">
        <v>186</v>
      </c>
      <c r="B192" s="97">
        <v>1296</v>
      </c>
      <c r="C192" s="97">
        <v>22653</v>
      </c>
      <c r="D192" s="65">
        <v>1</v>
      </c>
      <c r="E192" s="65">
        <v>0</v>
      </c>
      <c r="F192" s="65">
        <v>3</v>
      </c>
      <c r="G192" s="65">
        <v>41</v>
      </c>
      <c r="H192" s="65">
        <v>46</v>
      </c>
      <c r="I192" s="65">
        <f>SUM(D192:H192)</f>
        <v>91</v>
      </c>
    </row>
    <row r="193" spans="1:9" ht="20.100000000000001" customHeight="1" x14ac:dyDescent="0.3">
      <c r="A193" s="98" t="s">
        <v>187</v>
      </c>
      <c r="B193" s="67">
        <f t="shared" ref="B193:I193" si="11">SUM(B162:B189,B190:B192)</f>
        <v>52629</v>
      </c>
      <c r="C193" s="67">
        <f t="shared" si="11"/>
        <v>883882</v>
      </c>
      <c r="D193" s="38">
        <f t="shared" si="11"/>
        <v>90</v>
      </c>
      <c r="E193" s="38">
        <f t="shared" si="11"/>
        <v>4</v>
      </c>
      <c r="F193" s="38">
        <f t="shared" si="11"/>
        <v>58</v>
      </c>
      <c r="G193" s="38">
        <f t="shared" si="11"/>
        <v>3405</v>
      </c>
      <c r="H193" s="38">
        <f t="shared" si="11"/>
        <v>4813</v>
      </c>
      <c r="I193" s="38">
        <f t="shared" si="11"/>
        <v>8370</v>
      </c>
    </row>
    <row r="194" spans="1:9" ht="20.100000000000001" customHeight="1" x14ac:dyDescent="0.3">
      <c r="A194" s="98" t="s">
        <v>188</v>
      </c>
      <c r="B194" s="99">
        <f t="shared" ref="B194:I194" si="12">SUM(B193,B161,B122,B87,B33,B20)</f>
        <v>485917</v>
      </c>
      <c r="C194" s="67">
        <f t="shared" si="12"/>
        <v>12242378</v>
      </c>
      <c r="D194" s="38">
        <f t="shared" si="12"/>
        <v>729</v>
      </c>
      <c r="E194" s="38">
        <f t="shared" si="12"/>
        <v>19</v>
      </c>
      <c r="F194" s="38">
        <f t="shared" si="12"/>
        <v>800</v>
      </c>
      <c r="G194" s="38">
        <f t="shared" si="12"/>
        <v>20030</v>
      </c>
      <c r="H194" s="38">
        <f t="shared" si="12"/>
        <v>69199</v>
      </c>
      <c r="I194" s="38">
        <f t="shared" si="12"/>
        <v>90777</v>
      </c>
    </row>
    <row r="195" spans="1:9" s="101" customFormat="1" ht="21.95" customHeight="1" x14ac:dyDescent="0.3">
      <c r="A195" s="100" t="s">
        <v>189</v>
      </c>
      <c r="B195" s="100"/>
      <c r="C195" s="100"/>
      <c r="D195" s="100"/>
      <c r="E195" s="100"/>
      <c r="G195" s="100"/>
      <c r="H195" s="100"/>
      <c r="I195" s="102" t="s">
        <v>27</v>
      </c>
    </row>
    <row r="196" spans="1:9" s="101" customFormat="1" ht="21.95" customHeight="1" x14ac:dyDescent="0.3">
      <c r="A196" s="39" t="s">
        <v>190</v>
      </c>
      <c r="B196" s="39"/>
      <c r="C196" s="39"/>
      <c r="D196" s="39"/>
      <c r="E196" s="39"/>
      <c r="F196" s="103"/>
      <c r="G196" s="103"/>
      <c r="H196" s="103"/>
      <c r="I196" s="103"/>
    </row>
    <row r="197" spans="1:9" s="101" customFormat="1" ht="18" customHeight="1" x14ac:dyDescent="0.3">
      <c r="A197" s="104" t="s">
        <v>191</v>
      </c>
      <c r="B197" s="104"/>
      <c r="C197" s="104"/>
      <c r="D197" s="44"/>
      <c r="E197" s="44"/>
      <c r="F197" s="44"/>
      <c r="G197" s="44"/>
      <c r="H197" s="44"/>
      <c r="I197" s="44"/>
    </row>
    <row r="198" spans="1:9" ht="18" customHeight="1" x14ac:dyDescent="0.3">
      <c r="A198" s="101" t="s">
        <v>192</v>
      </c>
    </row>
    <row r="199" spans="1:9" ht="20.100000000000001" customHeight="1" x14ac:dyDescent="0.3">
      <c r="E199" s="71"/>
    </row>
  </sheetData>
  <mergeCells count="54">
    <mergeCell ref="A182:I182"/>
    <mergeCell ref="A183:I183"/>
    <mergeCell ref="A184:A187"/>
    <mergeCell ref="B184:B187"/>
    <mergeCell ref="C184:C187"/>
    <mergeCell ref="D184:H184"/>
    <mergeCell ref="I184:I187"/>
    <mergeCell ref="D185:D187"/>
    <mergeCell ref="E185:E187"/>
    <mergeCell ref="A147:I147"/>
    <mergeCell ref="A148:I148"/>
    <mergeCell ref="A149:A152"/>
    <mergeCell ref="B149:B152"/>
    <mergeCell ref="C149:C152"/>
    <mergeCell ref="D149:H149"/>
    <mergeCell ref="I149:I152"/>
    <mergeCell ref="D150:D152"/>
    <mergeCell ref="E150:E152"/>
    <mergeCell ref="A112:I112"/>
    <mergeCell ref="A113:I113"/>
    <mergeCell ref="A114:A117"/>
    <mergeCell ref="B114:B117"/>
    <mergeCell ref="C114:C117"/>
    <mergeCell ref="D114:H114"/>
    <mergeCell ref="I114:I117"/>
    <mergeCell ref="D115:D117"/>
    <mergeCell ref="E115:E117"/>
    <mergeCell ref="A77:I77"/>
    <mergeCell ref="A78:I78"/>
    <mergeCell ref="A79:A82"/>
    <mergeCell ref="B79:B82"/>
    <mergeCell ref="C79:C82"/>
    <mergeCell ref="D79:H79"/>
    <mergeCell ref="I79:I82"/>
    <mergeCell ref="D80:D82"/>
    <mergeCell ref="E80:E82"/>
    <mergeCell ref="A37:I37"/>
    <mergeCell ref="A38:I38"/>
    <mergeCell ref="A39:A42"/>
    <mergeCell ref="B39:B42"/>
    <mergeCell ref="C39:C42"/>
    <mergeCell ref="D39:H39"/>
    <mergeCell ref="I39:I42"/>
    <mergeCell ref="D40:D42"/>
    <mergeCell ref="E40:E42"/>
    <mergeCell ref="A2:I2"/>
    <mergeCell ref="A3:I3"/>
    <mergeCell ref="A4:A7"/>
    <mergeCell ref="B4:B7"/>
    <mergeCell ref="C4:C7"/>
    <mergeCell ref="D4:H4"/>
    <mergeCell ref="I4:I7"/>
    <mergeCell ref="D5:D7"/>
    <mergeCell ref="E5:E7"/>
  </mergeCells>
  <pageMargins left="0.59055118110236227" right="0" top="0.19685039370078741" bottom="0.19685039370078741" header="0.19685039370078741" footer="0.19685039370078741"/>
  <pageSetup paperSize="11" scale="8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K53"/>
  <sheetViews>
    <sheetView zoomScale="115" zoomScaleNormal="115" workbookViewId="0">
      <selection activeCell="E22" sqref="E22"/>
    </sheetView>
  </sheetViews>
  <sheetFormatPr defaultRowHeight="21" customHeight="1" x14ac:dyDescent="0.3"/>
  <cols>
    <col min="1" max="1" width="5.7109375" style="106" customWidth="1"/>
    <col min="2" max="2" width="35.7109375" style="106" customWidth="1"/>
    <col min="3" max="3" width="4.5703125" style="106" customWidth="1"/>
    <col min="4" max="4" width="6.140625" style="106" customWidth="1"/>
    <col min="5" max="7" width="7.5703125" style="106" bestFit="1" customWidth="1"/>
    <col min="8" max="8" width="7.28515625" style="106" customWidth="1"/>
    <col min="9" max="9" width="7" style="106" customWidth="1"/>
    <col min="10" max="16384" width="9.140625" style="106"/>
  </cols>
  <sheetData>
    <row r="1" spans="1:9" ht="21" customHeight="1" x14ac:dyDescent="0.3">
      <c r="A1" s="105" t="s">
        <v>193</v>
      </c>
      <c r="B1" s="105"/>
      <c r="C1" s="105"/>
      <c r="D1" s="105"/>
      <c r="E1" s="105"/>
      <c r="F1" s="105"/>
      <c r="G1" s="105"/>
      <c r="H1" s="105"/>
    </row>
    <row r="2" spans="1:9" ht="18.75" customHeight="1" x14ac:dyDescent="0.3">
      <c r="A2" s="105" t="s">
        <v>194</v>
      </c>
      <c r="B2" s="105"/>
      <c r="C2" s="105"/>
      <c r="D2" s="105"/>
      <c r="E2" s="105"/>
      <c r="F2" s="105"/>
      <c r="G2" s="105"/>
      <c r="H2" s="105"/>
    </row>
    <row r="3" spans="1:9" ht="5.25" customHeight="1" x14ac:dyDescent="0.3">
      <c r="C3" s="107"/>
      <c r="F3" s="107"/>
      <c r="G3" s="107"/>
      <c r="H3" s="107"/>
    </row>
    <row r="4" spans="1:9" ht="21" customHeight="1" x14ac:dyDescent="0.3">
      <c r="A4" s="108" t="s">
        <v>195</v>
      </c>
      <c r="B4" s="109" t="s">
        <v>196</v>
      </c>
      <c r="C4" s="5" t="s">
        <v>197</v>
      </c>
      <c r="D4" s="5"/>
      <c r="E4" s="5"/>
      <c r="F4" s="5"/>
      <c r="G4" s="5"/>
      <c r="H4" s="109" t="s">
        <v>8</v>
      </c>
      <c r="I4" s="110"/>
    </row>
    <row r="5" spans="1:9" ht="21" customHeight="1" x14ac:dyDescent="0.3">
      <c r="A5" s="111"/>
      <c r="B5" s="112"/>
      <c r="C5" s="4" t="s">
        <v>4</v>
      </c>
      <c r="D5" s="53" t="s">
        <v>36</v>
      </c>
      <c r="E5" s="8" t="s">
        <v>37</v>
      </c>
      <c r="F5" s="8" t="s">
        <v>7</v>
      </c>
      <c r="G5" s="8" t="s">
        <v>7</v>
      </c>
      <c r="H5" s="112"/>
      <c r="I5" s="110"/>
    </row>
    <row r="6" spans="1:9" ht="21" customHeight="1" x14ac:dyDescent="0.3">
      <c r="A6" s="111"/>
      <c r="B6" s="112"/>
      <c r="C6" s="7"/>
      <c r="D6" s="7"/>
      <c r="E6" s="9" t="s">
        <v>38</v>
      </c>
      <c r="F6" s="9" t="s">
        <v>198</v>
      </c>
      <c r="G6" s="9" t="s">
        <v>40</v>
      </c>
      <c r="H6" s="112"/>
      <c r="I6" s="110"/>
    </row>
    <row r="7" spans="1:9" ht="22.5" customHeight="1" x14ac:dyDescent="0.3">
      <c r="A7" s="113"/>
      <c r="B7" s="114"/>
      <c r="C7" s="10"/>
      <c r="D7" s="10"/>
      <c r="E7" s="11" t="s">
        <v>9</v>
      </c>
      <c r="F7" s="56" t="s">
        <v>199</v>
      </c>
      <c r="G7" s="56" t="s">
        <v>200</v>
      </c>
      <c r="H7" s="114"/>
    </row>
    <row r="8" spans="1:9" ht="18" customHeight="1" x14ac:dyDescent="0.3">
      <c r="A8" s="115" t="s">
        <v>201</v>
      </c>
      <c r="B8" s="116" t="s">
        <v>202</v>
      </c>
      <c r="C8" s="117">
        <v>63</v>
      </c>
      <c r="D8" s="117">
        <v>0</v>
      </c>
      <c r="E8" s="117">
        <v>12</v>
      </c>
      <c r="F8" s="118">
        <v>401</v>
      </c>
      <c r="G8" s="118">
        <v>1299</v>
      </c>
      <c r="H8" s="117">
        <f t="shared" ref="H8:H28" si="0">SUM(C8:G8)</f>
        <v>1775</v>
      </c>
    </row>
    <row r="9" spans="1:9" ht="18" customHeight="1" x14ac:dyDescent="0.3">
      <c r="A9" s="119" t="s">
        <v>203</v>
      </c>
      <c r="B9" s="120" t="s">
        <v>204</v>
      </c>
      <c r="C9" s="121">
        <v>9</v>
      </c>
      <c r="D9" s="121">
        <v>1</v>
      </c>
      <c r="E9" s="121">
        <v>7</v>
      </c>
      <c r="F9" s="122">
        <v>88</v>
      </c>
      <c r="G9" s="122">
        <v>149</v>
      </c>
      <c r="H9" s="123">
        <f t="shared" si="0"/>
        <v>254</v>
      </c>
    </row>
    <row r="10" spans="1:9" ht="18" customHeight="1" x14ac:dyDescent="0.3">
      <c r="A10" s="119" t="s">
        <v>205</v>
      </c>
      <c r="B10" s="120" t="s">
        <v>206</v>
      </c>
      <c r="C10" s="121">
        <v>143</v>
      </c>
      <c r="D10" s="121">
        <v>6</v>
      </c>
      <c r="E10" s="121">
        <v>577</v>
      </c>
      <c r="F10" s="122">
        <v>9787</v>
      </c>
      <c r="G10" s="122">
        <f>31279+2</f>
        <v>31281</v>
      </c>
      <c r="H10" s="123">
        <f t="shared" si="0"/>
        <v>41794</v>
      </c>
    </row>
    <row r="11" spans="1:9" ht="18" customHeight="1" x14ac:dyDescent="0.3">
      <c r="A11" s="115" t="s">
        <v>207</v>
      </c>
      <c r="B11" s="120" t="s">
        <v>208</v>
      </c>
      <c r="C11" s="121">
        <v>7</v>
      </c>
      <c r="D11" s="121">
        <v>0</v>
      </c>
      <c r="E11" s="121">
        <v>1</v>
      </c>
      <c r="F11" s="122">
        <v>55</v>
      </c>
      <c r="G11" s="122">
        <v>139</v>
      </c>
      <c r="H11" s="123">
        <f t="shared" si="0"/>
        <v>202</v>
      </c>
    </row>
    <row r="12" spans="1:9" ht="36" customHeight="1" x14ac:dyDescent="0.3">
      <c r="A12" s="124" t="s">
        <v>209</v>
      </c>
      <c r="B12" s="125" t="s">
        <v>210</v>
      </c>
      <c r="C12" s="126">
        <v>4</v>
      </c>
      <c r="D12" s="126">
        <v>0</v>
      </c>
      <c r="E12" s="126">
        <v>3</v>
      </c>
      <c r="F12" s="127">
        <v>79</v>
      </c>
      <c r="G12" s="127">
        <v>177</v>
      </c>
      <c r="H12" s="128">
        <f t="shared" si="0"/>
        <v>263</v>
      </c>
    </row>
    <row r="13" spans="1:9" ht="18" customHeight="1" x14ac:dyDescent="0.3">
      <c r="A13" s="119" t="s">
        <v>211</v>
      </c>
      <c r="B13" s="120" t="s">
        <v>212</v>
      </c>
      <c r="C13" s="121">
        <v>230</v>
      </c>
      <c r="D13" s="121">
        <v>8</v>
      </c>
      <c r="E13" s="121">
        <v>44</v>
      </c>
      <c r="F13" s="122">
        <v>2049</v>
      </c>
      <c r="G13" s="122">
        <v>8288</v>
      </c>
      <c r="H13" s="123">
        <f t="shared" si="0"/>
        <v>10619</v>
      </c>
    </row>
    <row r="14" spans="1:9" ht="33.75" customHeight="1" x14ac:dyDescent="0.3">
      <c r="A14" s="124" t="s">
        <v>213</v>
      </c>
      <c r="B14" s="125" t="s">
        <v>214</v>
      </c>
      <c r="C14" s="126">
        <v>78</v>
      </c>
      <c r="D14" s="126">
        <v>1</v>
      </c>
      <c r="E14" s="126">
        <v>77</v>
      </c>
      <c r="F14" s="127">
        <v>3223</v>
      </c>
      <c r="G14" s="127">
        <v>10291</v>
      </c>
      <c r="H14" s="128">
        <f t="shared" si="0"/>
        <v>13670</v>
      </c>
    </row>
    <row r="15" spans="1:9" ht="18" customHeight="1" x14ac:dyDescent="0.3">
      <c r="A15" s="119" t="s">
        <v>215</v>
      </c>
      <c r="B15" s="120" t="s">
        <v>216</v>
      </c>
      <c r="C15" s="121">
        <v>91</v>
      </c>
      <c r="D15" s="121">
        <v>1</v>
      </c>
      <c r="E15" s="121">
        <v>25</v>
      </c>
      <c r="F15" s="122">
        <v>931</v>
      </c>
      <c r="G15" s="122">
        <v>2603</v>
      </c>
      <c r="H15" s="123">
        <f t="shared" si="0"/>
        <v>3651</v>
      </c>
    </row>
    <row r="16" spans="1:9" ht="18" customHeight="1" x14ac:dyDescent="0.3">
      <c r="A16" s="119" t="s">
        <v>217</v>
      </c>
      <c r="B16" s="120" t="s">
        <v>218</v>
      </c>
      <c r="C16" s="121">
        <v>4</v>
      </c>
      <c r="D16" s="121">
        <v>0</v>
      </c>
      <c r="E16" s="121">
        <v>9</v>
      </c>
      <c r="F16" s="122">
        <v>1288</v>
      </c>
      <c r="G16" s="122">
        <v>5085</v>
      </c>
      <c r="H16" s="123">
        <f t="shared" si="0"/>
        <v>6386</v>
      </c>
    </row>
    <row r="17" spans="1:11" ht="18" customHeight="1" x14ac:dyDescent="0.3">
      <c r="A17" s="115" t="s">
        <v>219</v>
      </c>
      <c r="B17" s="120" t="s">
        <v>220</v>
      </c>
      <c r="C17" s="121">
        <v>1</v>
      </c>
      <c r="D17" s="121">
        <v>0</v>
      </c>
      <c r="E17" s="121">
        <v>2</v>
      </c>
      <c r="F17" s="122">
        <v>30</v>
      </c>
      <c r="G17" s="122">
        <v>135</v>
      </c>
      <c r="H17" s="123">
        <f t="shared" si="0"/>
        <v>168</v>
      </c>
    </row>
    <row r="18" spans="1:11" ht="18" customHeight="1" x14ac:dyDescent="0.3">
      <c r="A18" s="119" t="s">
        <v>221</v>
      </c>
      <c r="B18" s="120" t="s">
        <v>222</v>
      </c>
      <c r="C18" s="121">
        <v>5</v>
      </c>
      <c r="D18" s="121">
        <v>0</v>
      </c>
      <c r="E18" s="121">
        <v>1</v>
      </c>
      <c r="F18" s="122">
        <v>48</v>
      </c>
      <c r="G18" s="122">
        <v>91</v>
      </c>
      <c r="H18" s="123">
        <f t="shared" si="0"/>
        <v>145</v>
      </c>
    </row>
    <row r="19" spans="1:11" ht="18" customHeight="1" x14ac:dyDescent="0.3">
      <c r="A19" s="119" t="s">
        <v>223</v>
      </c>
      <c r="B19" s="120" t="s">
        <v>224</v>
      </c>
      <c r="C19" s="121">
        <v>4</v>
      </c>
      <c r="D19" s="121">
        <v>0</v>
      </c>
      <c r="E19" s="121">
        <v>3</v>
      </c>
      <c r="F19" s="122">
        <v>171</v>
      </c>
      <c r="G19" s="122">
        <v>741</v>
      </c>
      <c r="H19" s="123">
        <f t="shared" si="0"/>
        <v>919</v>
      </c>
    </row>
    <row r="20" spans="1:11" ht="36" customHeight="1" x14ac:dyDescent="0.3">
      <c r="A20" s="119" t="s">
        <v>225</v>
      </c>
      <c r="B20" s="120" t="s">
        <v>226</v>
      </c>
      <c r="C20" s="126">
        <v>5</v>
      </c>
      <c r="D20" s="126">
        <v>0</v>
      </c>
      <c r="E20" s="126">
        <v>7</v>
      </c>
      <c r="F20" s="127">
        <v>185</v>
      </c>
      <c r="G20" s="127">
        <v>1293</v>
      </c>
      <c r="H20" s="128">
        <f t="shared" si="0"/>
        <v>1490</v>
      </c>
    </row>
    <row r="21" spans="1:11" ht="18" customHeight="1" x14ac:dyDescent="0.3">
      <c r="A21" s="119" t="s">
        <v>227</v>
      </c>
      <c r="B21" s="120" t="s">
        <v>228</v>
      </c>
      <c r="C21" s="123">
        <v>30</v>
      </c>
      <c r="D21" s="123">
        <v>0</v>
      </c>
      <c r="E21" s="123">
        <v>8</v>
      </c>
      <c r="F21" s="129">
        <v>601</v>
      </c>
      <c r="G21" s="129">
        <v>1996</v>
      </c>
      <c r="H21" s="123">
        <f t="shared" si="0"/>
        <v>2635</v>
      </c>
    </row>
    <row r="22" spans="1:11" ht="37.5" x14ac:dyDescent="0.3">
      <c r="A22" s="124" t="s">
        <v>229</v>
      </c>
      <c r="B22" s="125" t="s">
        <v>230</v>
      </c>
      <c r="C22" s="128">
        <v>48</v>
      </c>
      <c r="D22" s="128">
        <v>1</v>
      </c>
      <c r="E22" s="128">
        <v>22</v>
      </c>
      <c r="F22" s="130">
        <v>768</v>
      </c>
      <c r="G22" s="130">
        <v>3620</v>
      </c>
      <c r="H22" s="128">
        <f t="shared" si="0"/>
        <v>4459</v>
      </c>
    </row>
    <row r="23" spans="1:11" ht="17.25" customHeight="1" x14ac:dyDescent="0.3">
      <c r="A23" s="119" t="s">
        <v>231</v>
      </c>
      <c r="B23" s="120" t="s">
        <v>232</v>
      </c>
      <c r="C23" s="123">
        <v>2</v>
      </c>
      <c r="D23" s="123">
        <v>0</v>
      </c>
      <c r="E23" s="123">
        <v>1</v>
      </c>
      <c r="F23" s="129">
        <v>58</v>
      </c>
      <c r="G23" s="129">
        <v>211</v>
      </c>
      <c r="H23" s="123">
        <f t="shared" si="0"/>
        <v>272</v>
      </c>
    </row>
    <row r="24" spans="1:11" x14ac:dyDescent="0.3">
      <c r="A24" s="119" t="s">
        <v>233</v>
      </c>
      <c r="B24" s="120" t="s">
        <v>234</v>
      </c>
      <c r="C24" s="123">
        <v>1</v>
      </c>
      <c r="D24" s="123">
        <v>0</v>
      </c>
      <c r="E24" s="123">
        <v>0</v>
      </c>
      <c r="F24" s="129">
        <v>72</v>
      </c>
      <c r="G24" s="129">
        <v>967</v>
      </c>
      <c r="H24" s="123">
        <f t="shared" si="0"/>
        <v>1040</v>
      </c>
    </row>
    <row r="25" spans="1:11" ht="17.25" customHeight="1" x14ac:dyDescent="0.3">
      <c r="A25" s="119" t="s">
        <v>235</v>
      </c>
      <c r="B25" s="120" t="s">
        <v>236</v>
      </c>
      <c r="C25" s="123">
        <v>2</v>
      </c>
      <c r="D25" s="123">
        <v>0</v>
      </c>
      <c r="E25" s="123">
        <v>0</v>
      </c>
      <c r="F25" s="129">
        <v>108</v>
      </c>
      <c r="G25" s="129">
        <v>367</v>
      </c>
      <c r="H25" s="123">
        <f t="shared" si="0"/>
        <v>477</v>
      </c>
    </row>
    <row r="26" spans="1:11" ht="17.25" customHeight="1" x14ac:dyDescent="0.3">
      <c r="A26" s="119" t="s">
        <v>237</v>
      </c>
      <c r="B26" s="120" t="s">
        <v>238</v>
      </c>
      <c r="C26" s="123">
        <v>2</v>
      </c>
      <c r="D26" s="123">
        <v>1</v>
      </c>
      <c r="E26" s="123">
        <v>1</v>
      </c>
      <c r="F26" s="129">
        <v>88</v>
      </c>
      <c r="G26" s="129">
        <v>466</v>
      </c>
      <c r="H26" s="123">
        <f t="shared" si="0"/>
        <v>558</v>
      </c>
    </row>
    <row r="27" spans="1:11" ht="54" customHeight="1" x14ac:dyDescent="0.3">
      <c r="A27" s="124" t="s">
        <v>239</v>
      </c>
      <c r="B27" s="125" t="s">
        <v>240</v>
      </c>
      <c r="C27" s="128">
        <v>0</v>
      </c>
      <c r="D27" s="128">
        <v>0</v>
      </c>
      <c r="E27" s="128">
        <v>0</v>
      </c>
      <c r="F27" s="130">
        <v>0</v>
      </c>
      <c r="G27" s="130">
        <v>0</v>
      </c>
      <c r="H27" s="128">
        <f t="shared" si="0"/>
        <v>0</v>
      </c>
    </row>
    <row r="28" spans="1:11" ht="34.5" customHeight="1" x14ac:dyDescent="0.3">
      <c r="A28" s="124" t="s">
        <v>241</v>
      </c>
      <c r="B28" s="125" t="s">
        <v>242</v>
      </c>
      <c r="C28" s="128">
        <v>0</v>
      </c>
      <c r="D28" s="128">
        <v>0</v>
      </c>
      <c r="E28" s="128">
        <v>0</v>
      </c>
      <c r="F28" s="130">
        <v>0</v>
      </c>
      <c r="G28" s="130">
        <v>0</v>
      </c>
      <c r="H28" s="128">
        <f t="shared" si="0"/>
        <v>0</v>
      </c>
    </row>
    <row r="29" spans="1:11" s="134" customFormat="1" ht="17.25" customHeight="1" x14ac:dyDescent="0.3">
      <c r="A29" s="131" t="s">
        <v>8</v>
      </c>
      <c r="B29" s="131"/>
      <c r="C29" s="132">
        <f t="shared" ref="C29:H29" si="1">SUM(C8:C28)</f>
        <v>729</v>
      </c>
      <c r="D29" s="132">
        <f t="shared" si="1"/>
        <v>19</v>
      </c>
      <c r="E29" s="132">
        <f t="shared" si="1"/>
        <v>800</v>
      </c>
      <c r="F29" s="133">
        <f t="shared" si="1"/>
        <v>20030</v>
      </c>
      <c r="G29" s="133">
        <f t="shared" si="1"/>
        <v>69199</v>
      </c>
      <c r="H29" s="133">
        <f t="shared" si="1"/>
        <v>90777</v>
      </c>
      <c r="J29" s="135"/>
    </row>
    <row r="30" spans="1:11" s="134" customFormat="1" ht="7.5" customHeight="1" x14ac:dyDescent="0.3">
      <c r="A30" s="136"/>
      <c r="B30" s="136"/>
      <c r="C30" s="137"/>
      <c r="D30" s="137"/>
      <c r="E30" s="138"/>
      <c r="F30" s="139"/>
      <c r="G30" s="139"/>
      <c r="H30" s="138"/>
    </row>
    <row r="31" spans="1:11" ht="18.75" customHeight="1" x14ac:dyDescent="0.3">
      <c r="A31" s="140" t="s">
        <v>243</v>
      </c>
      <c r="B31" s="140"/>
      <c r="H31" s="141" t="s">
        <v>27</v>
      </c>
      <c r="I31" s="140"/>
      <c r="J31" s="140"/>
      <c r="K31" s="140"/>
    </row>
    <row r="32" spans="1:11" ht="18.75" customHeight="1" x14ac:dyDescent="0.3">
      <c r="A32" s="142" t="s">
        <v>244</v>
      </c>
      <c r="B32" s="143"/>
    </row>
    <row r="53" spans="7:7" ht="21" customHeight="1" x14ac:dyDescent="0.3">
      <c r="G53" s="144"/>
    </row>
  </sheetData>
  <mergeCells count="7">
    <mergeCell ref="A29:B29"/>
    <mergeCell ref="A4:A7"/>
    <mergeCell ref="B4:B7"/>
    <mergeCell ref="C4:G4"/>
    <mergeCell ref="H4:H7"/>
    <mergeCell ref="C5:C7"/>
    <mergeCell ref="D5:D7"/>
  </mergeCells>
  <pageMargins left="0.55118110236220474" right="0.15748031496062992" top="0.39370078740157483" bottom="0.39370078740157483" header="0.51181102362204722" footer="0.51181102362204722"/>
  <pageSetup paperSize="11" scale="8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J53"/>
  <sheetViews>
    <sheetView topLeftCell="A13" zoomScaleNormal="100" workbookViewId="0">
      <selection activeCell="E22" sqref="E22"/>
    </sheetView>
  </sheetViews>
  <sheetFormatPr defaultRowHeight="21" x14ac:dyDescent="0.35"/>
  <cols>
    <col min="1" max="1" width="38.42578125" style="174" customWidth="1"/>
    <col min="2" max="2" width="7.7109375" style="174" customWidth="1"/>
    <col min="3" max="4" width="9.140625" style="174"/>
    <col min="5" max="6" width="7.7109375" style="174" customWidth="1"/>
    <col min="7" max="16384" width="9.140625" style="174"/>
  </cols>
  <sheetData>
    <row r="1" spans="1:10" s="146" customFormat="1" ht="24.75" customHeight="1" x14ac:dyDescent="0.35">
      <c r="A1" s="145" t="s">
        <v>245</v>
      </c>
      <c r="B1" s="145"/>
      <c r="C1" s="145"/>
      <c r="D1" s="145"/>
      <c r="E1" s="145"/>
      <c r="F1" s="145"/>
      <c r="G1" s="145"/>
    </row>
    <row r="2" spans="1:10" s="146" customFormat="1" ht="24.75" customHeight="1" x14ac:dyDescent="0.35">
      <c r="A2" s="145" t="s">
        <v>246</v>
      </c>
      <c r="B2" s="145"/>
      <c r="C2" s="145"/>
      <c r="D2" s="145"/>
      <c r="E2" s="145"/>
      <c r="F2" s="145"/>
      <c r="G2" s="145"/>
      <c r="J2" s="147"/>
    </row>
    <row r="3" spans="1:10" s="146" customFormat="1" ht="24.75" customHeight="1" x14ac:dyDescent="0.35">
      <c r="A3" s="148" t="s">
        <v>247</v>
      </c>
      <c r="B3" s="148"/>
      <c r="C3" s="148"/>
      <c r="D3" s="148"/>
      <c r="E3" s="148"/>
      <c r="F3" s="148"/>
      <c r="G3" s="148"/>
    </row>
    <row r="4" spans="1:10" s="146" customFormat="1" ht="24" customHeight="1" x14ac:dyDescent="0.35">
      <c r="A4" s="149"/>
      <c r="B4" s="150" t="s">
        <v>3</v>
      </c>
      <c r="C4" s="151"/>
      <c r="D4" s="151"/>
      <c r="E4" s="151"/>
      <c r="F4" s="151"/>
      <c r="G4" s="149"/>
    </row>
    <row r="5" spans="1:10" s="146" customFormat="1" ht="24" customHeight="1" x14ac:dyDescent="0.35">
      <c r="A5" s="152" t="s">
        <v>248</v>
      </c>
      <c r="B5" s="153" t="s">
        <v>4</v>
      </c>
      <c r="C5" s="153" t="s">
        <v>5</v>
      </c>
      <c r="D5" s="154" t="s">
        <v>37</v>
      </c>
      <c r="E5" s="154" t="s">
        <v>7</v>
      </c>
      <c r="F5" s="154" t="s">
        <v>7</v>
      </c>
      <c r="G5" s="155" t="s">
        <v>8</v>
      </c>
    </row>
    <row r="6" spans="1:10" s="146" customFormat="1" ht="24" customHeight="1" x14ac:dyDescent="0.35">
      <c r="A6" s="156"/>
      <c r="B6" s="155"/>
      <c r="C6" s="155"/>
      <c r="D6" s="157" t="s">
        <v>38</v>
      </c>
      <c r="E6" s="157" t="s">
        <v>198</v>
      </c>
      <c r="F6" s="157" t="s">
        <v>249</v>
      </c>
      <c r="G6" s="158"/>
    </row>
    <row r="7" spans="1:10" s="146" customFormat="1" x14ac:dyDescent="0.35">
      <c r="A7" s="159"/>
      <c r="B7" s="160"/>
      <c r="C7" s="160"/>
      <c r="D7" s="161" t="s">
        <v>9</v>
      </c>
      <c r="E7" s="161" t="s">
        <v>250</v>
      </c>
      <c r="F7" s="161" t="s">
        <v>41</v>
      </c>
      <c r="G7" s="162"/>
    </row>
    <row r="8" spans="1:10" s="146" customFormat="1" ht="22.5" customHeight="1" x14ac:dyDescent="0.35">
      <c r="A8" s="163" t="s">
        <v>251</v>
      </c>
      <c r="B8" s="164">
        <v>112</v>
      </c>
      <c r="C8" s="164">
        <v>7</v>
      </c>
      <c r="D8" s="164">
        <v>13</v>
      </c>
      <c r="E8" s="164">
        <v>2336</v>
      </c>
      <c r="F8" s="164">
        <v>4036</v>
      </c>
      <c r="G8" s="165">
        <f t="shared" ref="G8:G15" si="0">SUM(B8:F8)</f>
        <v>6504</v>
      </c>
    </row>
    <row r="9" spans="1:10" s="146" customFormat="1" ht="22.5" customHeight="1" x14ac:dyDescent="0.35">
      <c r="A9" s="166" t="s">
        <v>252</v>
      </c>
      <c r="B9" s="167">
        <v>11</v>
      </c>
      <c r="C9" s="167">
        <v>0</v>
      </c>
      <c r="D9" s="167">
        <v>6</v>
      </c>
      <c r="E9" s="167">
        <v>1633</v>
      </c>
      <c r="F9" s="167">
        <v>4652</v>
      </c>
      <c r="G9" s="168">
        <f t="shared" si="0"/>
        <v>6302</v>
      </c>
    </row>
    <row r="10" spans="1:10" s="146" customFormat="1" ht="22.5" customHeight="1" x14ac:dyDescent="0.35">
      <c r="A10" s="166" t="s">
        <v>253</v>
      </c>
      <c r="B10" s="167">
        <v>17</v>
      </c>
      <c r="C10" s="167">
        <v>1</v>
      </c>
      <c r="D10" s="167">
        <v>0</v>
      </c>
      <c r="E10" s="167">
        <v>24</v>
      </c>
      <c r="F10" s="167">
        <v>41</v>
      </c>
      <c r="G10" s="168">
        <f t="shared" si="0"/>
        <v>83</v>
      </c>
    </row>
    <row r="11" spans="1:10" s="146" customFormat="1" ht="22.5" customHeight="1" x14ac:dyDescent="0.35">
      <c r="A11" s="166" t="s">
        <v>254</v>
      </c>
      <c r="B11" s="167">
        <v>51</v>
      </c>
      <c r="C11" s="167">
        <v>5</v>
      </c>
      <c r="D11" s="167">
        <v>196</v>
      </c>
      <c r="E11" s="167">
        <v>3446</v>
      </c>
      <c r="F11" s="167">
        <v>8646</v>
      </c>
      <c r="G11" s="168">
        <f t="shared" si="0"/>
        <v>12344</v>
      </c>
    </row>
    <row r="12" spans="1:10" s="146" customFormat="1" ht="22.5" customHeight="1" x14ac:dyDescent="0.35">
      <c r="A12" s="166" t="s">
        <v>255</v>
      </c>
      <c r="B12" s="167">
        <v>20</v>
      </c>
      <c r="C12" s="167">
        <v>0</v>
      </c>
      <c r="D12" s="167">
        <v>77</v>
      </c>
      <c r="E12" s="167">
        <v>2570</v>
      </c>
      <c r="F12" s="167">
        <v>10439</v>
      </c>
      <c r="G12" s="168">
        <f t="shared" si="0"/>
        <v>13106</v>
      </c>
    </row>
    <row r="13" spans="1:10" s="146" customFormat="1" ht="22.5" customHeight="1" x14ac:dyDescent="0.35">
      <c r="A13" s="166" t="s">
        <v>256</v>
      </c>
      <c r="B13" s="167">
        <v>19</v>
      </c>
      <c r="C13" s="167">
        <v>0</v>
      </c>
      <c r="D13" s="167">
        <v>292</v>
      </c>
      <c r="E13" s="167">
        <v>2227</v>
      </c>
      <c r="F13" s="167">
        <v>4799</v>
      </c>
      <c r="G13" s="168">
        <f t="shared" si="0"/>
        <v>7337</v>
      </c>
    </row>
    <row r="14" spans="1:10" s="146" customFormat="1" ht="22.5" customHeight="1" x14ac:dyDescent="0.35">
      <c r="A14" s="166" t="s">
        <v>257</v>
      </c>
      <c r="B14" s="167">
        <v>2</v>
      </c>
      <c r="C14" s="167">
        <v>0</v>
      </c>
      <c r="D14" s="167">
        <v>169</v>
      </c>
      <c r="E14" s="167">
        <v>4251</v>
      </c>
      <c r="F14" s="167">
        <v>17847</v>
      </c>
      <c r="G14" s="168">
        <f t="shared" si="0"/>
        <v>22269</v>
      </c>
    </row>
    <row r="15" spans="1:10" s="146" customFormat="1" ht="22.5" customHeight="1" x14ac:dyDescent="0.35">
      <c r="A15" s="166" t="s">
        <v>258</v>
      </c>
      <c r="B15" s="169">
        <v>1</v>
      </c>
      <c r="C15" s="169">
        <v>0</v>
      </c>
      <c r="D15" s="169">
        <v>5</v>
      </c>
      <c r="E15" s="169">
        <v>472</v>
      </c>
      <c r="F15" s="169">
        <v>8971</v>
      </c>
      <c r="G15" s="168">
        <f t="shared" si="0"/>
        <v>9449</v>
      </c>
    </row>
    <row r="16" spans="1:10" s="146" customFormat="1" ht="22.5" customHeight="1" x14ac:dyDescent="0.35">
      <c r="A16" s="166" t="s">
        <v>259</v>
      </c>
      <c r="B16" s="169">
        <v>1</v>
      </c>
      <c r="C16" s="169">
        <v>0</v>
      </c>
      <c r="D16" s="170">
        <v>0</v>
      </c>
      <c r="E16" s="170">
        <v>188</v>
      </c>
      <c r="F16" s="170">
        <v>966</v>
      </c>
      <c r="G16" s="171">
        <f>SUM(B16:F17)</f>
        <v>1155</v>
      </c>
    </row>
    <row r="17" spans="1:7" s="146" customFormat="1" ht="22.5" customHeight="1" x14ac:dyDescent="0.35">
      <c r="A17" s="166" t="s">
        <v>260</v>
      </c>
      <c r="B17" s="170"/>
      <c r="C17" s="170"/>
      <c r="D17" s="170"/>
      <c r="E17" s="170"/>
      <c r="F17" s="170"/>
      <c r="G17" s="171"/>
    </row>
    <row r="18" spans="1:7" s="146" customFormat="1" ht="22.5" customHeight="1" x14ac:dyDescent="0.35">
      <c r="A18" s="166" t="s">
        <v>261</v>
      </c>
      <c r="B18" s="167">
        <v>4</v>
      </c>
      <c r="C18" s="167">
        <v>0</v>
      </c>
      <c r="D18" s="167">
        <v>0</v>
      </c>
      <c r="E18" s="167">
        <v>222</v>
      </c>
      <c r="F18" s="167">
        <v>732</v>
      </c>
      <c r="G18" s="168">
        <f t="shared" ref="G18:G28" si="1">SUM(B18:F18)</f>
        <v>958</v>
      </c>
    </row>
    <row r="19" spans="1:7" s="146" customFormat="1" ht="22.5" customHeight="1" x14ac:dyDescent="0.35">
      <c r="A19" s="166" t="s">
        <v>262</v>
      </c>
      <c r="B19" s="167">
        <v>223</v>
      </c>
      <c r="C19" s="167">
        <v>2</v>
      </c>
      <c r="D19" s="167">
        <v>18</v>
      </c>
      <c r="E19" s="167">
        <v>1384</v>
      </c>
      <c r="F19" s="167">
        <v>1748</v>
      </c>
      <c r="G19" s="168">
        <f t="shared" si="1"/>
        <v>3375</v>
      </c>
    </row>
    <row r="20" spans="1:7" s="146" customFormat="1" ht="22.5" customHeight="1" x14ac:dyDescent="0.35">
      <c r="A20" s="166" t="s">
        <v>263</v>
      </c>
      <c r="B20" s="167">
        <v>2</v>
      </c>
      <c r="C20" s="167">
        <v>0</v>
      </c>
      <c r="D20" s="167">
        <v>4</v>
      </c>
      <c r="E20" s="167">
        <v>127</v>
      </c>
      <c r="F20" s="167">
        <v>234</v>
      </c>
      <c r="G20" s="168">
        <f t="shared" si="1"/>
        <v>367</v>
      </c>
    </row>
    <row r="21" spans="1:7" s="146" customFormat="1" ht="22.5" customHeight="1" x14ac:dyDescent="0.35">
      <c r="A21" s="166" t="s">
        <v>264</v>
      </c>
      <c r="B21" s="167">
        <v>70</v>
      </c>
      <c r="C21" s="167">
        <v>3</v>
      </c>
      <c r="D21" s="167">
        <v>6</v>
      </c>
      <c r="E21" s="167">
        <v>206</v>
      </c>
      <c r="F21" s="167">
        <v>569</v>
      </c>
      <c r="G21" s="168">
        <f t="shared" si="1"/>
        <v>854</v>
      </c>
    </row>
    <row r="22" spans="1:7" s="146" customFormat="1" ht="22.5" customHeight="1" x14ac:dyDescent="0.35">
      <c r="A22" s="166" t="s">
        <v>265</v>
      </c>
      <c r="B22" s="167">
        <v>19</v>
      </c>
      <c r="C22" s="167">
        <v>0</v>
      </c>
      <c r="D22" s="167">
        <v>2</v>
      </c>
      <c r="E22" s="167">
        <v>609</v>
      </c>
      <c r="F22" s="167">
        <v>1522</v>
      </c>
      <c r="G22" s="168">
        <f t="shared" si="1"/>
        <v>2152</v>
      </c>
    </row>
    <row r="23" spans="1:7" s="146" customFormat="1" ht="22.5" customHeight="1" x14ac:dyDescent="0.35">
      <c r="A23" s="166" t="s">
        <v>266</v>
      </c>
      <c r="B23" s="167">
        <v>0</v>
      </c>
      <c r="C23" s="167">
        <v>0</v>
      </c>
      <c r="D23" s="167">
        <v>0</v>
      </c>
      <c r="E23" s="167">
        <v>0</v>
      </c>
      <c r="F23" s="167">
        <v>7</v>
      </c>
      <c r="G23" s="168">
        <f t="shared" si="1"/>
        <v>7</v>
      </c>
    </row>
    <row r="24" spans="1:7" s="146" customFormat="1" ht="22.5" customHeight="1" x14ac:dyDescent="0.35">
      <c r="A24" s="166" t="s">
        <v>267</v>
      </c>
      <c r="B24" s="167">
        <v>15</v>
      </c>
      <c r="C24" s="167">
        <v>0</v>
      </c>
      <c r="D24" s="167">
        <v>2</v>
      </c>
      <c r="E24" s="167">
        <v>118</v>
      </c>
      <c r="F24" s="167">
        <v>1268</v>
      </c>
      <c r="G24" s="168">
        <f t="shared" si="1"/>
        <v>1403</v>
      </c>
    </row>
    <row r="25" spans="1:7" s="146" customFormat="1" ht="22.5" customHeight="1" x14ac:dyDescent="0.35">
      <c r="A25" s="166" t="s">
        <v>268</v>
      </c>
      <c r="B25" s="167">
        <v>0</v>
      </c>
      <c r="C25" s="167">
        <v>0</v>
      </c>
      <c r="D25" s="167">
        <v>0</v>
      </c>
      <c r="E25" s="167">
        <v>0</v>
      </c>
      <c r="F25" s="167">
        <v>20</v>
      </c>
      <c r="G25" s="168">
        <f t="shared" si="1"/>
        <v>20</v>
      </c>
    </row>
    <row r="26" spans="1:7" s="146" customFormat="1" ht="22.5" customHeight="1" x14ac:dyDescent="0.35">
      <c r="A26" s="166" t="s">
        <v>269</v>
      </c>
      <c r="B26" s="167">
        <v>0</v>
      </c>
      <c r="C26" s="167">
        <v>0</v>
      </c>
      <c r="D26" s="167">
        <v>0</v>
      </c>
      <c r="E26" s="167">
        <v>9</v>
      </c>
      <c r="F26" s="167">
        <v>402</v>
      </c>
      <c r="G26" s="168">
        <f t="shared" si="1"/>
        <v>411</v>
      </c>
    </row>
    <row r="27" spans="1:7" s="146" customFormat="1" ht="22.5" customHeight="1" x14ac:dyDescent="0.35">
      <c r="A27" s="166" t="s">
        <v>270</v>
      </c>
      <c r="B27" s="167">
        <v>10</v>
      </c>
      <c r="C27" s="167">
        <v>0</v>
      </c>
      <c r="D27" s="167">
        <v>0</v>
      </c>
      <c r="E27" s="167">
        <v>36</v>
      </c>
      <c r="F27" s="167">
        <v>252</v>
      </c>
      <c r="G27" s="168">
        <f t="shared" si="1"/>
        <v>298</v>
      </c>
    </row>
    <row r="28" spans="1:7" s="146" customFormat="1" ht="22.5" customHeight="1" x14ac:dyDescent="0.35">
      <c r="A28" s="166" t="s">
        <v>271</v>
      </c>
      <c r="B28" s="167">
        <v>3</v>
      </c>
      <c r="C28" s="167">
        <v>0</v>
      </c>
      <c r="D28" s="167">
        <v>1</v>
      </c>
      <c r="E28" s="167">
        <v>116</v>
      </c>
      <c r="F28" s="167">
        <v>1524</v>
      </c>
      <c r="G28" s="168">
        <f t="shared" si="1"/>
        <v>1644</v>
      </c>
    </row>
    <row r="29" spans="1:7" s="146" customFormat="1" ht="22.5" customHeight="1" x14ac:dyDescent="0.35">
      <c r="A29" s="166" t="s">
        <v>272</v>
      </c>
      <c r="B29" s="169">
        <v>1</v>
      </c>
      <c r="C29" s="169">
        <v>1</v>
      </c>
      <c r="D29" s="170">
        <v>8</v>
      </c>
      <c r="E29" s="170">
        <v>4</v>
      </c>
      <c r="F29" s="170">
        <v>180</v>
      </c>
      <c r="G29" s="171">
        <f>SUM(B29:F30)</f>
        <v>194</v>
      </c>
    </row>
    <row r="30" spans="1:7" s="146" customFormat="1" ht="22.5" customHeight="1" x14ac:dyDescent="0.35">
      <c r="A30" s="166" t="s">
        <v>273</v>
      </c>
      <c r="B30" s="170"/>
      <c r="C30" s="170"/>
      <c r="D30" s="170"/>
      <c r="E30" s="170"/>
      <c r="F30" s="170"/>
      <c r="G30" s="171"/>
    </row>
    <row r="31" spans="1:7" s="146" customFormat="1" ht="22.5" customHeight="1" x14ac:dyDescent="0.35">
      <c r="A31" s="166" t="s">
        <v>274</v>
      </c>
      <c r="B31" s="167">
        <v>94</v>
      </c>
      <c r="C31" s="167">
        <v>0</v>
      </c>
      <c r="D31" s="167">
        <v>0</v>
      </c>
      <c r="E31" s="167">
        <v>11</v>
      </c>
      <c r="F31" s="167">
        <v>22</v>
      </c>
      <c r="G31" s="168">
        <f>SUM(B31:F31)</f>
        <v>127</v>
      </c>
    </row>
    <row r="32" spans="1:7" s="146" customFormat="1" ht="22.5" customHeight="1" x14ac:dyDescent="0.35">
      <c r="A32" s="166" t="s">
        <v>275</v>
      </c>
      <c r="B32" s="167">
        <v>1</v>
      </c>
      <c r="C32" s="167">
        <v>0</v>
      </c>
      <c r="D32" s="167">
        <v>0</v>
      </c>
      <c r="E32" s="167">
        <v>5</v>
      </c>
      <c r="F32" s="167">
        <v>0</v>
      </c>
      <c r="G32" s="168">
        <f>SUM(B32:F32)</f>
        <v>6</v>
      </c>
    </row>
    <row r="33" spans="1:7" s="146" customFormat="1" ht="22.5" customHeight="1" x14ac:dyDescent="0.35">
      <c r="A33" s="166" t="s">
        <v>276</v>
      </c>
      <c r="B33" s="167">
        <v>53</v>
      </c>
      <c r="C33" s="167">
        <v>0</v>
      </c>
      <c r="D33" s="167">
        <v>1</v>
      </c>
      <c r="E33" s="167">
        <v>36</v>
      </c>
      <c r="F33" s="167">
        <v>322</v>
      </c>
      <c r="G33" s="168">
        <f>SUM(B33:F33)</f>
        <v>412</v>
      </c>
    </row>
    <row r="34" spans="1:7" s="146" customFormat="1" ht="22.5" customHeight="1" x14ac:dyDescent="0.35">
      <c r="A34" s="172" t="s">
        <v>277</v>
      </c>
      <c r="B34" s="173">
        <f t="shared" ref="B34:G34" si="2">SUM(B8:B33)</f>
        <v>729</v>
      </c>
      <c r="C34" s="173">
        <f t="shared" si="2"/>
        <v>19</v>
      </c>
      <c r="D34" s="173">
        <f t="shared" si="2"/>
        <v>800</v>
      </c>
      <c r="E34" s="173">
        <f t="shared" si="2"/>
        <v>20030</v>
      </c>
      <c r="F34" s="173">
        <f t="shared" si="2"/>
        <v>69199</v>
      </c>
      <c r="G34" s="173">
        <f t="shared" si="2"/>
        <v>90777</v>
      </c>
    </row>
    <row r="35" spans="1:7" s="146" customFormat="1" ht="22.5" customHeight="1" x14ac:dyDescent="0.35">
      <c r="A35" s="174" t="s">
        <v>278</v>
      </c>
      <c r="G35" s="175" t="s">
        <v>27</v>
      </c>
    </row>
    <row r="53" spans="7:7" x14ac:dyDescent="0.35">
      <c r="G53" s="176"/>
    </row>
  </sheetData>
  <mergeCells count="7">
    <mergeCell ref="A1:G1"/>
    <mergeCell ref="A2:G2"/>
    <mergeCell ref="A3:G3"/>
    <mergeCell ref="A5:A6"/>
    <mergeCell ref="B5:B7"/>
    <mergeCell ref="C5:C7"/>
    <mergeCell ref="G5:G6"/>
  </mergeCells>
  <pageMargins left="0.70866141732283472" right="0.19685039370078741" top="0.39370078740157483" bottom="0.19685039370078741" header="0.31496062992125984" footer="0.31496062992125984"/>
  <pageSetup paperSize="11"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1:I61"/>
  <sheetViews>
    <sheetView topLeftCell="B13" zoomScaleNormal="100" workbookViewId="0">
      <selection activeCell="E22" sqref="E22"/>
    </sheetView>
  </sheetViews>
  <sheetFormatPr defaultRowHeight="12.75" x14ac:dyDescent="0.2"/>
  <cols>
    <col min="1" max="1" width="10.7109375" customWidth="1"/>
    <col min="2" max="2" width="4.28515625" customWidth="1"/>
    <col min="3" max="3" width="34.85546875" customWidth="1"/>
    <col min="10" max="10" width="4.140625" customWidth="1"/>
  </cols>
  <sheetData>
    <row r="1" spans="2:9" ht="21" x14ac:dyDescent="0.35">
      <c r="B1" s="145" t="s">
        <v>279</v>
      </c>
      <c r="C1" s="145"/>
      <c r="D1" s="145"/>
      <c r="E1" s="145"/>
      <c r="F1" s="145"/>
      <c r="G1" s="145"/>
      <c r="H1" s="145"/>
      <c r="I1" s="145"/>
    </row>
    <row r="2" spans="2:9" ht="21" x14ac:dyDescent="0.35">
      <c r="B2" s="145" t="s">
        <v>280</v>
      </c>
      <c r="C2" s="145"/>
      <c r="D2" s="145"/>
      <c r="E2" s="145"/>
      <c r="F2" s="145"/>
      <c r="G2" s="145"/>
      <c r="H2" s="145"/>
      <c r="I2" s="145"/>
    </row>
    <row r="3" spans="2:9" ht="21" x14ac:dyDescent="0.35">
      <c r="B3" s="148" t="s">
        <v>247</v>
      </c>
      <c r="C3" s="148"/>
      <c r="D3" s="148"/>
      <c r="E3" s="148"/>
      <c r="F3" s="148"/>
      <c r="G3" s="148"/>
      <c r="H3" s="148"/>
      <c r="I3" s="148"/>
    </row>
    <row r="4" spans="2:9" ht="21" x14ac:dyDescent="0.35">
      <c r="B4" s="177"/>
      <c r="C4" s="178"/>
      <c r="D4" s="150" t="s">
        <v>3</v>
      </c>
      <c r="E4" s="151"/>
      <c r="F4" s="151"/>
      <c r="G4" s="151"/>
      <c r="H4" s="151"/>
      <c r="I4" s="149"/>
    </row>
    <row r="5" spans="2:9" ht="21" x14ac:dyDescent="0.2">
      <c r="B5" s="179" t="s">
        <v>281</v>
      </c>
      <c r="C5" s="180"/>
      <c r="D5" s="153" t="s">
        <v>4</v>
      </c>
      <c r="E5" s="153" t="s">
        <v>5</v>
      </c>
      <c r="F5" s="181" t="s">
        <v>282</v>
      </c>
      <c r="G5" s="182" t="s">
        <v>7</v>
      </c>
      <c r="H5" s="182" t="s">
        <v>7</v>
      </c>
      <c r="I5" s="152" t="s">
        <v>8</v>
      </c>
    </row>
    <row r="6" spans="2:9" ht="21" x14ac:dyDescent="0.2">
      <c r="B6" s="179"/>
      <c r="C6" s="180"/>
      <c r="D6" s="155"/>
      <c r="E6" s="155"/>
      <c r="F6" s="183"/>
      <c r="G6" s="184" t="s">
        <v>198</v>
      </c>
      <c r="H6" s="184" t="s">
        <v>249</v>
      </c>
      <c r="I6" s="156"/>
    </row>
    <row r="7" spans="2:9" ht="21" x14ac:dyDescent="0.35">
      <c r="B7" s="185"/>
      <c r="C7" s="186"/>
      <c r="D7" s="160"/>
      <c r="E7" s="160"/>
      <c r="F7" s="187"/>
      <c r="G7" s="188" t="s">
        <v>41</v>
      </c>
      <c r="H7" s="188" t="s">
        <v>41</v>
      </c>
      <c r="I7" s="162"/>
    </row>
    <row r="8" spans="2:9" ht="6" customHeight="1" x14ac:dyDescent="0.35">
      <c r="B8" s="189"/>
      <c r="C8" s="190"/>
      <c r="D8" s="164"/>
      <c r="E8" s="164"/>
      <c r="F8" s="164"/>
      <c r="G8" s="164"/>
      <c r="H8" s="164"/>
      <c r="I8" s="165"/>
    </row>
    <row r="9" spans="2:9" ht="21" x14ac:dyDescent="0.35">
      <c r="B9" s="191" t="s">
        <v>283</v>
      </c>
      <c r="C9" s="192" t="s">
        <v>284</v>
      </c>
      <c r="D9" s="167"/>
      <c r="E9" s="167"/>
      <c r="F9" s="167"/>
      <c r="G9" s="167"/>
      <c r="H9" s="167"/>
      <c r="I9" s="168"/>
    </row>
    <row r="10" spans="2:9" ht="42" x14ac:dyDescent="0.2">
      <c r="B10" s="191"/>
      <c r="C10" s="192" t="s">
        <v>285</v>
      </c>
      <c r="D10" s="169">
        <v>0</v>
      </c>
      <c r="E10" s="169">
        <v>0</v>
      </c>
      <c r="F10" s="169">
        <v>0</v>
      </c>
      <c r="G10" s="169">
        <v>0</v>
      </c>
      <c r="H10" s="169">
        <v>42</v>
      </c>
      <c r="I10" s="193">
        <v>42</v>
      </c>
    </row>
    <row r="11" spans="2:9" ht="63.75" hidden="1" customHeight="1" x14ac:dyDescent="0.2">
      <c r="B11" s="191"/>
      <c r="C11" s="192" t="s">
        <v>286</v>
      </c>
      <c r="D11" s="169">
        <v>0</v>
      </c>
      <c r="E11" s="169">
        <v>0</v>
      </c>
      <c r="F11" s="169">
        <v>0</v>
      </c>
      <c r="G11" s="169">
        <v>0</v>
      </c>
      <c r="H11" s="169">
        <v>0</v>
      </c>
      <c r="I11" s="193">
        <v>0</v>
      </c>
    </row>
    <row r="12" spans="2:9" ht="21" x14ac:dyDescent="0.2">
      <c r="B12" s="191" t="s">
        <v>287</v>
      </c>
      <c r="C12" s="192" t="s">
        <v>288</v>
      </c>
      <c r="D12" s="169"/>
      <c r="E12" s="169"/>
      <c r="F12" s="169"/>
      <c r="G12" s="169"/>
      <c r="H12" s="169"/>
      <c r="I12" s="193"/>
    </row>
    <row r="13" spans="2:9" ht="21" x14ac:dyDescent="0.2">
      <c r="B13" s="191"/>
      <c r="C13" s="192" t="s">
        <v>289</v>
      </c>
      <c r="D13" s="194">
        <v>0</v>
      </c>
      <c r="E13" s="169">
        <v>0</v>
      </c>
      <c r="F13" s="169">
        <v>7</v>
      </c>
      <c r="G13" s="169">
        <v>0</v>
      </c>
      <c r="H13" s="169">
        <v>28</v>
      </c>
      <c r="I13" s="193">
        <f t="shared" ref="I13:I19" si="0">SUM(D13:H13)</f>
        <v>35</v>
      </c>
    </row>
    <row r="14" spans="2:9" ht="21" x14ac:dyDescent="0.2">
      <c r="B14" s="191"/>
      <c r="C14" s="192" t="s">
        <v>290</v>
      </c>
      <c r="D14" s="194">
        <v>0</v>
      </c>
      <c r="E14" s="169">
        <v>0</v>
      </c>
      <c r="F14" s="169">
        <v>0</v>
      </c>
      <c r="G14" s="169">
        <v>0</v>
      </c>
      <c r="H14" s="169">
        <v>1</v>
      </c>
      <c r="I14" s="193">
        <f>SUM(D14:H14)</f>
        <v>1</v>
      </c>
    </row>
    <row r="15" spans="2:9" ht="21" x14ac:dyDescent="0.2">
      <c r="B15" s="191" t="s">
        <v>291</v>
      </c>
      <c r="C15" s="192" t="s">
        <v>292</v>
      </c>
      <c r="D15" s="194"/>
      <c r="E15" s="169"/>
      <c r="F15" s="169"/>
      <c r="G15" s="169"/>
      <c r="H15" s="169"/>
      <c r="I15" s="193"/>
    </row>
    <row r="16" spans="2:9" ht="21" x14ac:dyDescent="0.2">
      <c r="B16" s="191"/>
      <c r="C16" s="192" t="s">
        <v>293</v>
      </c>
      <c r="D16" s="169">
        <v>0</v>
      </c>
      <c r="E16" s="169">
        <v>0</v>
      </c>
      <c r="F16" s="169">
        <v>0</v>
      </c>
      <c r="G16" s="169">
        <v>3</v>
      </c>
      <c r="H16" s="169">
        <v>69</v>
      </c>
      <c r="I16" s="171">
        <f>SUM(D16:H16)</f>
        <v>72</v>
      </c>
    </row>
    <row r="17" spans="2:9" ht="42" x14ac:dyDescent="0.2">
      <c r="B17" s="191" t="s">
        <v>294</v>
      </c>
      <c r="C17" s="192" t="s">
        <v>295</v>
      </c>
      <c r="D17" s="194"/>
      <c r="E17" s="169"/>
      <c r="F17" s="169"/>
      <c r="G17" s="169"/>
      <c r="H17" s="169"/>
      <c r="I17" s="193"/>
    </row>
    <row r="18" spans="2:9" ht="21" x14ac:dyDescent="0.2">
      <c r="B18" s="191"/>
      <c r="C18" s="192" t="s">
        <v>296</v>
      </c>
      <c r="D18" s="169">
        <v>1</v>
      </c>
      <c r="E18" s="169">
        <v>0</v>
      </c>
      <c r="F18" s="169">
        <v>1</v>
      </c>
      <c r="G18" s="169">
        <v>0</v>
      </c>
      <c r="H18" s="169">
        <v>1</v>
      </c>
      <c r="I18" s="171">
        <f t="shared" si="0"/>
        <v>3</v>
      </c>
    </row>
    <row r="19" spans="2:9" ht="42" hidden="1" x14ac:dyDescent="0.2">
      <c r="B19" s="191"/>
      <c r="C19" s="192" t="s">
        <v>297</v>
      </c>
      <c r="D19" s="169">
        <v>0</v>
      </c>
      <c r="E19" s="169">
        <v>0</v>
      </c>
      <c r="F19" s="169">
        <v>0</v>
      </c>
      <c r="G19" s="169">
        <v>0</v>
      </c>
      <c r="H19" s="169">
        <v>0</v>
      </c>
      <c r="I19" s="171">
        <f t="shared" si="0"/>
        <v>0</v>
      </c>
    </row>
    <row r="20" spans="2:9" ht="21" x14ac:dyDescent="0.2">
      <c r="B20" s="191" t="s">
        <v>298</v>
      </c>
      <c r="C20" s="192" t="s">
        <v>299</v>
      </c>
      <c r="D20" s="169"/>
      <c r="E20" s="169"/>
      <c r="F20" s="169"/>
      <c r="G20" s="169"/>
      <c r="H20" s="170"/>
      <c r="I20" s="171"/>
    </row>
    <row r="21" spans="2:9" ht="63" x14ac:dyDescent="0.2">
      <c r="B21" s="191"/>
      <c r="C21" s="192" t="s">
        <v>300</v>
      </c>
      <c r="D21" s="169">
        <v>0</v>
      </c>
      <c r="E21" s="169">
        <v>0</v>
      </c>
      <c r="F21" s="169">
        <v>0</v>
      </c>
      <c r="G21" s="169">
        <v>0</v>
      </c>
      <c r="H21" s="169">
        <v>24</v>
      </c>
      <c r="I21" s="193">
        <f>SUM(D21:H21)</f>
        <v>24</v>
      </c>
    </row>
    <row r="22" spans="2:9" ht="42" x14ac:dyDescent="0.2">
      <c r="B22" s="191"/>
      <c r="C22" s="192" t="s">
        <v>301</v>
      </c>
      <c r="D22" s="169">
        <v>0</v>
      </c>
      <c r="E22" s="169">
        <v>0</v>
      </c>
      <c r="F22" s="169">
        <v>0</v>
      </c>
      <c r="G22" s="169">
        <v>0</v>
      </c>
      <c r="H22" s="169">
        <v>7</v>
      </c>
      <c r="I22" s="193">
        <f>SUM(D22:H22)</f>
        <v>7</v>
      </c>
    </row>
    <row r="23" spans="2:9" ht="42" x14ac:dyDescent="0.2">
      <c r="B23" s="191" t="s">
        <v>302</v>
      </c>
      <c r="C23" s="192" t="s">
        <v>303</v>
      </c>
      <c r="D23" s="169"/>
      <c r="E23" s="169"/>
      <c r="F23" s="169"/>
      <c r="G23" s="169"/>
      <c r="H23" s="169"/>
      <c r="I23" s="193"/>
    </row>
    <row r="24" spans="2:9" ht="87" customHeight="1" x14ac:dyDescent="0.2">
      <c r="B24" s="191"/>
      <c r="C24" s="192" t="s">
        <v>304</v>
      </c>
      <c r="D24" s="169">
        <v>0</v>
      </c>
      <c r="E24" s="169">
        <v>1</v>
      </c>
      <c r="F24" s="169">
        <v>0</v>
      </c>
      <c r="G24" s="169">
        <v>1</v>
      </c>
      <c r="H24" s="169">
        <v>8</v>
      </c>
      <c r="I24" s="193">
        <f>SUM(D24:H24)</f>
        <v>10</v>
      </c>
    </row>
    <row r="25" spans="2:9" ht="21" hidden="1" x14ac:dyDescent="0.2">
      <c r="B25" s="191" t="s">
        <v>305</v>
      </c>
      <c r="C25" s="192" t="s">
        <v>306</v>
      </c>
      <c r="D25" s="169"/>
      <c r="E25" s="169"/>
      <c r="F25" s="169"/>
      <c r="G25" s="169"/>
      <c r="H25" s="169"/>
      <c r="I25" s="193"/>
    </row>
    <row r="26" spans="2:9" ht="63" hidden="1" x14ac:dyDescent="0.2">
      <c r="B26" s="191"/>
      <c r="C26" s="192" t="s">
        <v>307</v>
      </c>
      <c r="D26" s="169">
        <v>0</v>
      </c>
      <c r="E26" s="169">
        <v>0</v>
      </c>
      <c r="F26" s="169">
        <v>0</v>
      </c>
      <c r="G26" s="169">
        <v>0</v>
      </c>
      <c r="H26" s="169">
        <v>0</v>
      </c>
      <c r="I26" s="193">
        <f>SUM(D26:H26)</f>
        <v>0</v>
      </c>
    </row>
    <row r="27" spans="2:9" ht="9.75" hidden="1" customHeight="1" x14ac:dyDescent="0.35">
      <c r="B27" s="195"/>
      <c r="C27" s="192"/>
      <c r="D27" s="167"/>
      <c r="E27" s="167"/>
      <c r="F27" s="167"/>
      <c r="G27" s="167"/>
      <c r="H27" s="167"/>
      <c r="I27" s="168"/>
    </row>
    <row r="28" spans="2:9" ht="21" x14ac:dyDescent="0.35">
      <c r="B28" s="196" t="s">
        <v>277</v>
      </c>
      <c r="C28" s="197"/>
      <c r="D28" s="173">
        <f t="shared" ref="D28:I28" si="1">SUM(D8:D26)</f>
        <v>1</v>
      </c>
      <c r="E28" s="173">
        <f t="shared" si="1"/>
        <v>1</v>
      </c>
      <c r="F28" s="173">
        <f t="shared" si="1"/>
        <v>8</v>
      </c>
      <c r="G28" s="173">
        <f t="shared" si="1"/>
        <v>4</v>
      </c>
      <c r="H28" s="173">
        <f t="shared" si="1"/>
        <v>180</v>
      </c>
      <c r="I28" s="173">
        <f t="shared" si="1"/>
        <v>194</v>
      </c>
    </row>
    <row r="29" spans="2:9" ht="21" x14ac:dyDescent="0.35">
      <c r="B29" s="174" t="s">
        <v>278</v>
      </c>
      <c r="C29" s="174"/>
      <c r="D29" s="146"/>
      <c r="E29" s="146"/>
      <c r="F29" s="146"/>
      <c r="G29" s="146"/>
      <c r="H29" s="146"/>
      <c r="I29" s="175" t="s">
        <v>308</v>
      </c>
    </row>
    <row r="30" spans="2:9" ht="21" x14ac:dyDescent="0.35">
      <c r="B30" s="174"/>
      <c r="C30" s="174"/>
      <c r="D30" s="146"/>
      <c r="E30" s="146"/>
      <c r="F30" s="146"/>
      <c r="G30" s="146"/>
      <c r="H30" s="146"/>
      <c r="I30" s="175"/>
    </row>
    <row r="31" spans="2:9" ht="21" x14ac:dyDescent="0.35">
      <c r="B31" s="174"/>
      <c r="C31" s="174"/>
      <c r="D31" s="146"/>
      <c r="E31" s="146"/>
      <c r="F31" s="146"/>
      <c r="G31" s="146"/>
      <c r="H31" s="146"/>
      <c r="I31" s="175"/>
    </row>
    <row r="32" spans="2:9" ht="21" x14ac:dyDescent="0.35">
      <c r="B32" s="174"/>
      <c r="C32" s="174"/>
      <c r="D32" s="146"/>
      <c r="E32" s="146"/>
      <c r="F32" s="146"/>
      <c r="G32" s="146"/>
      <c r="H32" s="146"/>
      <c r="I32" s="175"/>
    </row>
    <row r="33" spans="2:9" ht="21" x14ac:dyDescent="0.35">
      <c r="B33" s="174"/>
      <c r="C33" s="174"/>
      <c r="D33" s="146"/>
      <c r="E33" s="146"/>
      <c r="F33" s="146"/>
      <c r="G33" s="146"/>
      <c r="H33" s="146"/>
      <c r="I33" s="175"/>
    </row>
    <row r="34" spans="2:9" ht="21" x14ac:dyDescent="0.35">
      <c r="B34" s="174"/>
      <c r="C34" s="174"/>
      <c r="D34" s="146"/>
      <c r="E34" s="146"/>
      <c r="F34" s="146"/>
      <c r="G34" s="146"/>
      <c r="H34" s="146"/>
      <c r="I34" s="175"/>
    </row>
    <row r="35" spans="2:9" ht="21" x14ac:dyDescent="0.35">
      <c r="B35" s="174"/>
      <c r="C35" s="174"/>
      <c r="D35" s="146"/>
      <c r="E35" s="146"/>
      <c r="F35" s="146"/>
      <c r="G35" s="146"/>
      <c r="H35" s="146"/>
      <c r="I35" s="175"/>
    </row>
    <row r="36" spans="2:9" ht="21" x14ac:dyDescent="0.35">
      <c r="B36" s="174"/>
      <c r="C36" s="174"/>
      <c r="D36" s="146"/>
      <c r="E36" s="146"/>
      <c r="F36" s="146"/>
      <c r="G36" s="146"/>
      <c r="H36" s="146"/>
      <c r="I36" s="175"/>
    </row>
    <row r="61" spans="8:8" x14ac:dyDescent="0.2">
      <c r="H61" s="198"/>
    </row>
  </sheetData>
  <mergeCells count="11">
    <mergeCell ref="B28:C28"/>
    <mergeCell ref="B1:I1"/>
    <mergeCell ref="B2:I2"/>
    <mergeCell ref="B3:I3"/>
    <mergeCell ref="B4:C4"/>
    <mergeCell ref="B5:C6"/>
    <mergeCell ref="D5:D7"/>
    <mergeCell ref="E5:E7"/>
    <mergeCell ref="F5:F7"/>
    <mergeCell ref="I5:I6"/>
    <mergeCell ref="B7:C7"/>
  </mergeCells>
  <printOptions horizontalCentered="1"/>
  <pageMargins left="0.19685039370078741" right="0.19685039370078741" top="0.39370078740157483" bottom="0.19685039370078741" header="0.31496062992125984" footer="0.31496062992125984"/>
  <pageSetup paperSize="11" scale="6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G53"/>
  <sheetViews>
    <sheetView topLeftCell="A7" workbookViewId="0">
      <selection activeCell="E22" sqref="E22"/>
    </sheetView>
  </sheetViews>
  <sheetFormatPr defaultRowHeight="21" x14ac:dyDescent="0.35"/>
  <cols>
    <col min="1" max="1" width="38.42578125" style="174" customWidth="1"/>
    <col min="2" max="2" width="7.7109375" style="174" customWidth="1"/>
    <col min="3" max="4" width="9.140625" style="174"/>
    <col min="5" max="6" width="7.7109375" style="174" customWidth="1"/>
    <col min="7" max="16384" width="9.140625" style="174"/>
  </cols>
  <sheetData>
    <row r="1" spans="1:7" s="146" customFormat="1" ht="24.75" customHeight="1" x14ac:dyDescent="0.35">
      <c r="A1" s="145" t="s">
        <v>309</v>
      </c>
      <c r="B1" s="145"/>
      <c r="C1" s="145"/>
      <c r="D1" s="145"/>
      <c r="E1" s="145"/>
      <c r="F1" s="145"/>
      <c r="G1" s="145"/>
    </row>
    <row r="2" spans="1:7" s="146" customFormat="1" ht="24.75" customHeight="1" x14ac:dyDescent="0.35">
      <c r="A2" s="145" t="s">
        <v>310</v>
      </c>
      <c r="B2" s="145"/>
      <c r="C2" s="145"/>
      <c r="D2" s="145"/>
      <c r="E2" s="145"/>
      <c r="F2" s="145"/>
      <c r="G2" s="145"/>
    </row>
    <row r="3" spans="1:7" s="146" customFormat="1" ht="24.75" customHeight="1" x14ac:dyDescent="0.35">
      <c r="A3" s="148" t="s">
        <v>247</v>
      </c>
      <c r="B3" s="148"/>
      <c r="C3" s="148"/>
      <c r="D3" s="148"/>
      <c r="E3" s="148"/>
      <c r="F3" s="148"/>
      <c r="G3" s="148"/>
    </row>
    <row r="4" spans="1:7" s="146" customFormat="1" ht="24" customHeight="1" x14ac:dyDescent="0.35">
      <c r="A4" s="149"/>
      <c r="B4" s="150" t="s">
        <v>3</v>
      </c>
      <c r="C4" s="151"/>
      <c r="D4" s="151"/>
      <c r="E4" s="151"/>
      <c r="F4" s="151"/>
      <c r="G4" s="149"/>
    </row>
    <row r="5" spans="1:7" s="146" customFormat="1" ht="24" customHeight="1" x14ac:dyDescent="0.35">
      <c r="A5" s="152" t="s">
        <v>311</v>
      </c>
      <c r="B5" s="153" t="s">
        <v>4</v>
      </c>
      <c r="C5" s="153" t="s">
        <v>5</v>
      </c>
      <c r="D5" s="154" t="s">
        <v>37</v>
      </c>
      <c r="E5" s="154" t="s">
        <v>7</v>
      </c>
      <c r="F5" s="154" t="s">
        <v>7</v>
      </c>
      <c r="G5" s="155" t="s">
        <v>8</v>
      </c>
    </row>
    <row r="6" spans="1:7" s="146" customFormat="1" ht="24" customHeight="1" x14ac:dyDescent="0.35">
      <c r="A6" s="156"/>
      <c r="B6" s="155"/>
      <c r="C6" s="155"/>
      <c r="D6" s="157" t="s">
        <v>38</v>
      </c>
      <c r="E6" s="157" t="s">
        <v>198</v>
      </c>
      <c r="F6" s="157" t="s">
        <v>249</v>
      </c>
      <c r="G6" s="158"/>
    </row>
    <row r="7" spans="1:7" s="146" customFormat="1" x14ac:dyDescent="0.35">
      <c r="A7" s="159"/>
      <c r="B7" s="160"/>
      <c r="C7" s="160"/>
      <c r="D7" s="161" t="s">
        <v>9</v>
      </c>
      <c r="E7" s="161" t="s">
        <v>250</v>
      </c>
      <c r="F7" s="161" t="s">
        <v>41</v>
      </c>
      <c r="G7" s="162"/>
    </row>
    <row r="8" spans="1:7" s="146" customFormat="1" ht="22.5" customHeight="1" x14ac:dyDescent="0.35">
      <c r="A8" s="163" t="s">
        <v>312</v>
      </c>
      <c r="B8" s="164">
        <v>4</v>
      </c>
      <c r="C8" s="164">
        <v>0</v>
      </c>
      <c r="D8" s="164">
        <v>78</v>
      </c>
      <c r="E8" s="164">
        <v>2344</v>
      </c>
      <c r="F8" s="164">
        <v>10325</v>
      </c>
      <c r="G8" s="165">
        <f t="shared" ref="G8:G23" si="0">SUM(B8:F8)</f>
        <v>12751</v>
      </c>
    </row>
    <row r="9" spans="1:7" s="146" customFormat="1" ht="22.5" customHeight="1" x14ac:dyDescent="0.35">
      <c r="A9" s="166" t="s">
        <v>313</v>
      </c>
      <c r="B9" s="167">
        <v>53</v>
      </c>
      <c r="C9" s="167">
        <v>3</v>
      </c>
      <c r="D9" s="167">
        <v>455</v>
      </c>
      <c r="E9" s="167">
        <v>3484</v>
      </c>
      <c r="F9" s="167">
        <v>7047</v>
      </c>
      <c r="G9" s="168">
        <f t="shared" si="0"/>
        <v>11042</v>
      </c>
    </row>
    <row r="10" spans="1:7" s="146" customFormat="1" ht="22.5" customHeight="1" x14ac:dyDescent="0.35">
      <c r="A10" s="166" t="s">
        <v>314</v>
      </c>
      <c r="B10" s="167">
        <v>86</v>
      </c>
      <c r="C10" s="167">
        <v>7</v>
      </c>
      <c r="D10" s="167">
        <v>17</v>
      </c>
      <c r="E10" s="167">
        <v>1784</v>
      </c>
      <c r="F10" s="167">
        <v>3681</v>
      </c>
      <c r="G10" s="168">
        <f t="shared" si="0"/>
        <v>5575</v>
      </c>
    </row>
    <row r="11" spans="1:7" s="146" customFormat="1" ht="22.5" customHeight="1" x14ac:dyDescent="0.35">
      <c r="A11" s="166" t="s">
        <v>315</v>
      </c>
      <c r="B11" s="167">
        <v>39</v>
      </c>
      <c r="C11" s="167">
        <v>3</v>
      </c>
      <c r="D11" s="167">
        <v>172</v>
      </c>
      <c r="E11" s="167">
        <v>6873</v>
      </c>
      <c r="F11" s="167">
        <v>29888</v>
      </c>
      <c r="G11" s="168">
        <f t="shared" si="0"/>
        <v>36975</v>
      </c>
    </row>
    <row r="12" spans="1:7" s="146" customFormat="1" ht="22.5" customHeight="1" x14ac:dyDescent="0.35">
      <c r="A12" s="166" t="s">
        <v>316</v>
      </c>
      <c r="B12" s="167">
        <v>4</v>
      </c>
      <c r="C12" s="167">
        <v>1</v>
      </c>
      <c r="D12" s="167">
        <v>2</v>
      </c>
      <c r="E12" s="167">
        <v>565</v>
      </c>
      <c r="F12" s="167">
        <v>1985</v>
      </c>
      <c r="G12" s="168">
        <f t="shared" si="0"/>
        <v>2557</v>
      </c>
    </row>
    <row r="13" spans="1:7" s="146" customFormat="1" ht="22.5" customHeight="1" x14ac:dyDescent="0.35">
      <c r="A13" s="166" t="s">
        <v>317</v>
      </c>
      <c r="B13" s="167">
        <v>263</v>
      </c>
      <c r="C13" s="167">
        <v>2</v>
      </c>
      <c r="D13" s="167">
        <v>38</v>
      </c>
      <c r="E13" s="167">
        <v>2061</v>
      </c>
      <c r="F13" s="167">
        <v>3038</v>
      </c>
      <c r="G13" s="168">
        <f t="shared" si="0"/>
        <v>5402</v>
      </c>
    </row>
    <row r="14" spans="1:7" s="146" customFormat="1" ht="22.5" customHeight="1" x14ac:dyDescent="0.35">
      <c r="A14" s="166" t="s">
        <v>318</v>
      </c>
      <c r="B14" s="167">
        <v>2</v>
      </c>
      <c r="C14" s="167">
        <v>0</v>
      </c>
      <c r="D14" s="167">
        <v>1</v>
      </c>
      <c r="E14" s="167">
        <v>38</v>
      </c>
      <c r="F14" s="167">
        <v>63</v>
      </c>
      <c r="G14" s="168">
        <f t="shared" si="0"/>
        <v>104</v>
      </c>
    </row>
    <row r="15" spans="1:7" s="146" customFormat="1" ht="22.5" customHeight="1" x14ac:dyDescent="0.35">
      <c r="A15" s="166" t="s">
        <v>319</v>
      </c>
      <c r="B15" s="167">
        <v>0</v>
      </c>
      <c r="C15" s="167">
        <v>0</v>
      </c>
      <c r="D15" s="167">
        <v>0</v>
      </c>
      <c r="E15" s="167">
        <v>28</v>
      </c>
      <c r="F15" s="167">
        <v>93</v>
      </c>
      <c r="G15" s="168">
        <f t="shared" si="0"/>
        <v>121</v>
      </c>
    </row>
    <row r="16" spans="1:7" s="146" customFormat="1" ht="22.5" customHeight="1" x14ac:dyDescent="0.35">
      <c r="A16" s="166" t="s">
        <v>320</v>
      </c>
      <c r="B16" s="167">
        <v>1</v>
      </c>
      <c r="C16" s="167">
        <v>0</v>
      </c>
      <c r="D16" s="167">
        <v>0</v>
      </c>
      <c r="E16" s="167">
        <v>73</v>
      </c>
      <c r="F16" s="167">
        <v>160</v>
      </c>
      <c r="G16" s="168">
        <f t="shared" si="0"/>
        <v>234</v>
      </c>
    </row>
    <row r="17" spans="1:7" s="146" customFormat="1" ht="22.5" customHeight="1" x14ac:dyDescent="0.35">
      <c r="A17" s="166" t="s">
        <v>321</v>
      </c>
      <c r="B17" s="167">
        <v>71</v>
      </c>
      <c r="C17" s="167">
        <v>3</v>
      </c>
      <c r="D17" s="167">
        <v>13</v>
      </c>
      <c r="E17" s="167">
        <v>318</v>
      </c>
      <c r="F17" s="167">
        <v>823</v>
      </c>
      <c r="G17" s="168">
        <f t="shared" si="0"/>
        <v>1228</v>
      </c>
    </row>
    <row r="18" spans="1:7" s="146" customFormat="1" ht="22.5" customHeight="1" x14ac:dyDescent="0.35">
      <c r="A18" s="166" t="s">
        <v>322</v>
      </c>
      <c r="B18" s="167">
        <v>15</v>
      </c>
      <c r="C18" s="167">
        <v>0</v>
      </c>
      <c r="D18" s="167">
        <v>4</v>
      </c>
      <c r="E18" s="167">
        <v>257</v>
      </c>
      <c r="F18" s="167">
        <v>3365</v>
      </c>
      <c r="G18" s="168">
        <f t="shared" si="0"/>
        <v>3641</v>
      </c>
    </row>
    <row r="19" spans="1:7" s="146" customFormat="1" ht="22.5" customHeight="1" x14ac:dyDescent="0.35">
      <c r="A19" s="166" t="s">
        <v>323</v>
      </c>
      <c r="B19" s="167">
        <v>34</v>
      </c>
      <c r="C19" s="167">
        <v>0</v>
      </c>
      <c r="D19" s="167">
        <v>16</v>
      </c>
      <c r="E19" s="167">
        <v>1956</v>
      </c>
      <c r="F19" s="167">
        <v>6084</v>
      </c>
      <c r="G19" s="168">
        <f t="shared" si="0"/>
        <v>8090</v>
      </c>
    </row>
    <row r="20" spans="1:7" s="146" customFormat="1" ht="22.5" customHeight="1" x14ac:dyDescent="0.35">
      <c r="A20" s="166" t="s">
        <v>324</v>
      </c>
      <c r="B20" s="167">
        <v>91</v>
      </c>
      <c r="C20" s="167">
        <v>0</v>
      </c>
      <c r="D20" s="167">
        <v>0</v>
      </c>
      <c r="E20" s="167">
        <v>13</v>
      </c>
      <c r="F20" s="167">
        <v>28</v>
      </c>
      <c r="G20" s="168">
        <f t="shared" si="0"/>
        <v>132</v>
      </c>
    </row>
    <row r="21" spans="1:7" s="146" customFormat="1" ht="22.5" customHeight="1" x14ac:dyDescent="0.35">
      <c r="A21" s="166" t="s">
        <v>325</v>
      </c>
      <c r="B21" s="167">
        <v>0</v>
      </c>
      <c r="C21" s="167">
        <v>0</v>
      </c>
      <c r="D21" s="167">
        <v>0</v>
      </c>
      <c r="E21" s="167">
        <v>5</v>
      </c>
      <c r="F21" s="167">
        <v>140</v>
      </c>
      <c r="G21" s="168">
        <f t="shared" si="0"/>
        <v>145</v>
      </c>
    </row>
    <row r="22" spans="1:7" s="146" customFormat="1" ht="22.5" customHeight="1" x14ac:dyDescent="0.35">
      <c r="A22" s="166" t="s">
        <v>326</v>
      </c>
      <c r="B22" s="167">
        <v>14</v>
      </c>
      <c r="C22" s="167">
        <v>0</v>
      </c>
      <c r="D22" s="167">
        <v>1</v>
      </c>
      <c r="E22" s="167">
        <v>174</v>
      </c>
      <c r="F22" s="167">
        <v>1855</v>
      </c>
      <c r="G22" s="168">
        <f t="shared" si="0"/>
        <v>2044</v>
      </c>
    </row>
    <row r="23" spans="1:7" s="146" customFormat="1" ht="22.5" customHeight="1" x14ac:dyDescent="0.35">
      <c r="A23" s="166" t="s">
        <v>327</v>
      </c>
      <c r="B23" s="199">
        <v>52</v>
      </c>
      <c r="C23" s="199">
        <v>0</v>
      </c>
      <c r="D23" s="199">
        <v>3</v>
      </c>
      <c r="E23" s="199">
        <v>57</v>
      </c>
      <c r="F23" s="199">
        <v>624</v>
      </c>
      <c r="G23" s="200">
        <f t="shared" si="0"/>
        <v>736</v>
      </c>
    </row>
    <row r="24" spans="1:7" s="146" customFormat="1" ht="22.5" customHeight="1" x14ac:dyDescent="0.35">
      <c r="A24" s="172" t="s">
        <v>277</v>
      </c>
      <c r="B24" s="173">
        <f t="shared" ref="B24:G24" si="1">SUM(B8:B23)</f>
        <v>729</v>
      </c>
      <c r="C24" s="173">
        <f t="shared" si="1"/>
        <v>19</v>
      </c>
      <c r="D24" s="173">
        <f t="shared" si="1"/>
        <v>800</v>
      </c>
      <c r="E24" s="173">
        <f t="shared" si="1"/>
        <v>20030</v>
      </c>
      <c r="F24" s="173">
        <f t="shared" si="1"/>
        <v>69199</v>
      </c>
      <c r="G24" s="173">
        <f t="shared" si="1"/>
        <v>90777</v>
      </c>
    </row>
    <row r="25" spans="1:7" s="146" customFormat="1" ht="22.5" customHeight="1" x14ac:dyDescent="0.35">
      <c r="A25" s="174" t="s">
        <v>328</v>
      </c>
      <c r="G25" s="175" t="s">
        <v>27</v>
      </c>
    </row>
    <row r="53" spans="7:7" x14ac:dyDescent="0.35">
      <c r="G53" s="176"/>
    </row>
  </sheetData>
  <mergeCells count="7">
    <mergeCell ref="A1:G1"/>
    <mergeCell ref="A2:G2"/>
    <mergeCell ref="A3:G3"/>
    <mergeCell ref="A5:A6"/>
    <mergeCell ref="B5:B7"/>
    <mergeCell ref="C5:C7"/>
    <mergeCell ref="G5:G6"/>
  </mergeCells>
  <pageMargins left="0.70866141732283472" right="0.19685039370078741" top="0.39370078740157483" bottom="0.19685039370078741" header="0.31496062992125984" footer="0.31496062992125984"/>
  <pageSetup paperSize="11" scale="7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H53"/>
  <sheetViews>
    <sheetView workbookViewId="0">
      <selection activeCell="E22" sqref="E22"/>
    </sheetView>
  </sheetViews>
  <sheetFormatPr defaultRowHeight="21" x14ac:dyDescent="0.35"/>
  <cols>
    <col min="1" max="1" width="38.42578125" style="174" customWidth="1"/>
    <col min="2" max="2" width="7.7109375" style="174" customWidth="1"/>
    <col min="3" max="4" width="9.140625" style="174"/>
    <col min="5" max="6" width="7.7109375" style="174" customWidth="1"/>
    <col min="7" max="16384" width="9.140625" style="174"/>
  </cols>
  <sheetData>
    <row r="1" spans="1:7" s="146" customFormat="1" x14ac:dyDescent="0.35">
      <c r="A1" s="145" t="s">
        <v>329</v>
      </c>
      <c r="B1" s="145"/>
      <c r="C1" s="145"/>
      <c r="D1" s="145"/>
      <c r="E1" s="145"/>
      <c r="F1" s="145"/>
      <c r="G1" s="145"/>
    </row>
    <row r="2" spans="1:7" s="146" customFormat="1" x14ac:dyDescent="0.35">
      <c r="A2" s="145" t="s">
        <v>330</v>
      </c>
      <c r="B2" s="145"/>
      <c r="C2" s="145"/>
      <c r="D2" s="145"/>
      <c r="E2" s="145"/>
      <c r="F2" s="145"/>
      <c r="G2" s="145"/>
    </row>
    <row r="3" spans="1:7" s="146" customFormat="1" x14ac:dyDescent="0.35">
      <c r="A3" s="148" t="s">
        <v>247</v>
      </c>
      <c r="B3" s="148"/>
      <c r="C3" s="148"/>
      <c r="D3" s="148"/>
      <c r="E3" s="148"/>
      <c r="F3" s="148"/>
      <c r="G3" s="148"/>
    </row>
    <row r="4" spans="1:7" s="146" customFormat="1" x14ac:dyDescent="0.35">
      <c r="A4" s="149"/>
      <c r="B4" s="150" t="s">
        <v>3</v>
      </c>
      <c r="C4" s="151"/>
      <c r="D4" s="151"/>
      <c r="E4" s="151"/>
      <c r="F4" s="151"/>
      <c r="G4" s="149"/>
    </row>
    <row r="5" spans="1:7" s="146" customFormat="1" ht="21" customHeight="1" x14ac:dyDescent="0.35">
      <c r="A5" s="152" t="s">
        <v>331</v>
      </c>
      <c r="B5" s="153" t="s">
        <v>4</v>
      </c>
      <c r="C5" s="153" t="s">
        <v>5</v>
      </c>
      <c r="D5" s="154" t="s">
        <v>37</v>
      </c>
      <c r="E5" s="154" t="s">
        <v>7</v>
      </c>
      <c r="F5" s="154" t="s">
        <v>7</v>
      </c>
      <c r="G5" s="155" t="s">
        <v>8</v>
      </c>
    </row>
    <row r="6" spans="1:7" s="146" customFormat="1" ht="21" customHeight="1" x14ac:dyDescent="0.35">
      <c r="A6" s="156"/>
      <c r="B6" s="155"/>
      <c r="C6" s="155"/>
      <c r="D6" s="157" t="s">
        <v>38</v>
      </c>
      <c r="E6" s="157" t="s">
        <v>198</v>
      </c>
      <c r="F6" s="157" t="s">
        <v>249</v>
      </c>
      <c r="G6" s="158"/>
    </row>
    <row r="7" spans="1:7" s="146" customFormat="1" x14ac:dyDescent="0.35">
      <c r="A7" s="159"/>
      <c r="B7" s="160"/>
      <c r="C7" s="160"/>
      <c r="D7" s="161" t="s">
        <v>9</v>
      </c>
      <c r="E7" s="161" t="s">
        <v>250</v>
      </c>
      <c r="F7" s="161" t="s">
        <v>41</v>
      </c>
      <c r="G7" s="162"/>
    </row>
    <row r="8" spans="1:7" s="146" customFormat="1" ht="22.5" customHeight="1" x14ac:dyDescent="0.35">
      <c r="A8" s="201" t="s">
        <v>332</v>
      </c>
      <c r="B8" s="164">
        <v>97</v>
      </c>
      <c r="C8" s="164">
        <v>1</v>
      </c>
      <c r="D8" s="164">
        <v>1</v>
      </c>
      <c r="E8" s="164">
        <v>416</v>
      </c>
      <c r="F8" s="164">
        <v>3044</v>
      </c>
      <c r="G8" s="165">
        <f t="shared" ref="G8:G34" si="0">SUM(B8:F8)</f>
        <v>3559</v>
      </c>
    </row>
    <row r="9" spans="1:7" s="146" customFormat="1" ht="22.5" customHeight="1" x14ac:dyDescent="0.35">
      <c r="A9" s="201" t="s">
        <v>333</v>
      </c>
      <c r="B9" s="167">
        <v>1</v>
      </c>
      <c r="C9" s="167">
        <v>0</v>
      </c>
      <c r="D9" s="167">
        <v>5</v>
      </c>
      <c r="E9" s="167">
        <v>626</v>
      </c>
      <c r="F9" s="167">
        <v>10406</v>
      </c>
      <c r="G9" s="168">
        <f t="shared" si="0"/>
        <v>11038</v>
      </c>
    </row>
    <row r="10" spans="1:7" s="146" customFormat="1" ht="22.5" customHeight="1" x14ac:dyDescent="0.35">
      <c r="A10" s="201" t="s">
        <v>334</v>
      </c>
      <c r="B10" s="167">
        <v>0</v>
      </c>
      <c r="C10" s="167">
        <v>0</v>
      </c>
      <c r="D10" s="167">
        <v>0</v>
      </c>
      <c r="E10" s="167">
        <v>66</v>
      </c>
      <c r="F10" s="167">
        <v>278</v>
      </c>
      <c r="G10" s="168">
        <f t="shared" si="0"/>
        <v>344</v>
      </c>
    </row>
    <row r="11" spans="1:7" s="146" customFormat="1" ht="22.5" customHeight="1" x14ac:dyDescent="0.35">
      <c r="A11" s="201" t="s">
        <v>335</v>
      </c>
      <c r="B11" s="167">
        <v>0</v>
      </c>
      <c r="C11" s="167">
        <v>0</v>
      </c>
      <c r="D11" s="167">
        <v>7</v>
      </c>
      <c r="E11" s="167">
        <v>12</v>
      </c>
      <c r="F11" s="167">
        <v>211</v>
      </c>
      <c r="G11" s="168">
        <f t="shared" si="0"/>
        <v>230</v>
      </c>
    </row>
    <row r="12" spans="1:7" s="146" customFormat="1" ht="22.5" customHeight="1" x14ac:dyDescent="0.35">
      <c r="A12" s="201" t="s">
        <v>336</v>
      </c>
      <c r="B12" s="169">
        <v>0</v>
      </c>
      <c r="C12" s="169">
        <v>0</v>
      </c>
      <c r="D12" s="169">
        <v>0</v>
      </c>
      <c r="E12" s="169">
        <v>43</v>
      </c>
      <c r="F12" s="169">
        <v>359</v>
      </c>
      <c r="G12" s="168">
        <f t="shared" si="0"/>
        <v>402</v>
      </c>
    </row>
    <row r="13" spans="1:7" s="146" customFormat="1" ht="22.5" customHeight="1" x14ac:dyDescent="0.35">
      <c r="A13" s="201" t="s">
        <v>337</v>
      </c>
      <c r="B13" s="169">
        <v>0</v>
      </c>
      <c r="C13" s="169">
        <v>0</v>
      </c>
      <c r="D13" s="169">
        <v>2</v>
      </c>
      <c r="E13" s="169">
        <v>190</v>
      </c>
      <c r="F13" s="169">
        <v>1971</v>
      </c>
      <c r="G13" s="168">
        <f t="shared" si="0"/>
        <v>2163</v>
      </c>
    </row>
    <row r="14" spans="1:7" s="146" customFormat="1" ht="22.5" customHeight="1" x14ac:dyDescent="0.35">
      <c r="A14" s="201" t="s">
        <v>338</v>
      </c>
      <c r="B14" s="167">
        <v>9</v>
      </c>
      <c r="C14" s="167">
        <v>0</v>
      </c>
      <c r="D14" s="167">
        <v>0</v>
      </c>
      <c r="E14" s="167">
        <v>46</v>
      </c>
      <c r="F14" s="167">
        <v>222</v>
      </c>
      <c r="G14" s="168">
        <f t="shared" si="0"/>
        <v>277</v>
      </c>
    </row>
    <row r="15" spans="1:7" s="146" customFormat="1" ht="22.5" customHeight="1" x14ac:dyDescent="0.35">
      <c r="A15" s="201" t="s">
        <v>339</v>
      </c>
      <c r="B15" s="167">
        <v>1</v>
      </c>
      <c r="C15" s="167">
        <v>4</v>
      </c>
      <c r="D15" s="167">
        <v>0</v>
      </c>
      <c r="E15" s="167">
        <v>385</v>
      </c>
      <c r="F15" s="167">
        <v>1274</v>
      </c>
      <c r="G15" s="168">
        <f t="shared" si="0"/>
        <v>1664</v>
      </c>
    </row>
    <row r="16" spans="1:7" s="146" customFormat="1" ht="22.5" customHeight="1" x14ac:dyDescent="0.35">
      <c r="A16" s="201" t="s">
        <v>340</v>
      </c>
      <c r="B16" s="167">
        <v>4</v>
      </c>
      <c r="C16" s="167">
        <v>0</v>
      </c>
      <c r="D16" s="167">
        <v>0</v>
      </c>
      <c r="E16" s="167">
        <v>234</v>
      </c>
      <c r="F16" s="167">
        <v>479</v>
      </c>
      <c r="G16" s="168">
        <f t="shared" si="0"/>
        <v>717</v>
      </c>
    </row>
    <row r="17" spans="1:8" s="146" customFormat="1" ht="22.5" customHeight="1" x14ac:dyDescent="0.35">
      <c r="A17" s="201" t="s">
        <v>341</v>
      </c>
      <c r="B17" s="167">
        <v>30</v>
      </c>
      <c r="C17" s="167">
        <v>0</v>
      </c>
      <c r="D17" s="167">
        <v>1</v>
      </c>
      <c r="E17" s="167">
        <v>85</v>
      </c>
      <c r="F17" s="167">
        <v>570</v>
      </c>
      <c r="G17" s="168">
        <f t="shared" si="0"/>
        <v>686</v>
      </c>
    </row>
    <row r="18" spans="1:8" s="146" customFormat="1" ht="22.5" customHeight="1" x14ac:dyDescent="0.35">
      <c r="A18" s="201" t="s">
        <v>342</v>
      </c>
      <c r="B18" s="167">
        <v>10</v>
      </c>
      <c r="C18" s="167">
        <v>0</v>
      </c>
      <c r="D18" s="167">
        <v>0</v>
      </c>
      <c r="E18" s="167">
        <v>72</v>
      </c>
      <c r="F18" s="167">
        <v>161</v>
      </c>
      <c r="G18" s="168">
        <f t="shared" si="0"/>
        <v>243</v>
      </c>
    </row>
    <row r="19" spans="1:8" s="146" customFormat="1" ht="22.5" customHeight="1" x14ac:dyDescent="0.35">
      <c r="A19" s="201" t="s">
        <v>343</v>
      </c>
      <c r="B19" s="167">
        <v>0</v>
      </c>
      <c r="C19" s="167">
        <v>0</v>
      </c>
      <c r="D19" s="167">
        <v>0</v>
      </c>
      <c r="E19" s="167">
        <v>20</v>
      </c>
      <c r="F19" s="167">
        <v>34</v>
      </c>
      <c r="G19" s="168">
        <f t="shared" si="0"/>
        <v>54</v>
      </c>
    </row>
    <row r="20" spans="1:8" s="146" customFormat="1" ht="22.5" customHeight="1" x14ac:dyDescent="0.35">
      <c r="A20" s="201" t="s">
        <v>344</v>
      </c>
      <c r="B20" s="167">
        <v>0</v>
      </c>
      <c r="C20" s="167">
        <v>0</v>
      </c>
      <c r="D20" s="167">
        <v>0</v>
      </c>
      <c r="E20" s="167">
        <v>267</v>
      </c>
      <c r="F20" s="167">
        <v>777</v>
      </c>
      <c r="G20" s="168">
        <f t="shared" si="0"/>
        <v>1044</v>
      </c>
    </row>
    <row r="21" spans="1:8" s="146" customFormat="1" ht="22.5" customHeight="1" x14ac:dyDescent="0.35">
      <c r="A21" s="201" t="s">
        <v>345</v>
      </c>
      <c r="B21" s="167">
        <v>1</v>
      </c>
      <c r="C21" s="167">
        <v>0</v>
      </c>
      <c r="D21" s="167">
        <v>21</v>
      </c>
      <c r="E21" s="167">
        <v>1029</v>
      </c>
      <c r="F21" s="167">
        <v>3643</v>
      </c>
      <c r="G21" s="168">
        <f t="shared" si="0"/>
        <v>4694</v>
      </c>
    </row>
    <row r="22" spans="1:8" s="146" customFormat="1" ht="22.5" customHeight="1" x14ac:dyDescent="0.35">
      <c r="A22" s="202" t="s">
        <v>346</v>
      </c>
      <c r="B22" s="167">
        <v>0</v>
      </c>
      <c r="C22" s="167">
        <v>0</v>
      </c>
      <c r="D22" s="167">
        <v>12</v>
      </c>
      <c r="E22" s="167">
        <v>824</v>
      </c>
      <c r="F22" s="167">
        <v>1740</v>
      </c>
      <c r="G22" s="168">
        <f t="shared" si="0"/>
        <v>2576</v>
      </c>
    </row>
    <row r="23" spans="1:8" s="146" customFormat="1" ht="22.5" customHeight="1" x14ac:dyDescent="0.35">
      <c r="A23" s="202" t="s">
        <v>347</v>
      </c>
      <c r="B23" s="167">
        <v>0</v>
      </c>
      <c r="C23" s="167">
        <v>0</v>
      </c>
      <c r="D23" s="167">
        <v>25</v>
      </c>
      <c r="E23" s="167">
        <v>1205</v>
      </c>
      <c r="F23" s="167">
        <v>4835</v>
      </c>
      <c r="G23" s="168">
        <f t="shared" si="0"/>
        <v>6065</v>
      </c>
    </row>
    <row r="24" spans="1:8" s="146" customFormat="1" ht="22.5" customHeight="1" x14ac:dyDescent="0.35">
      <c r="A24" s="202" t="s">
        <v>348</v>
      </c>
      <c r="B24" s="167">
        <v>1</v>
      </c>
      <c r="C24" s="167">
        <v>0</v>
      </c>
      <c r="D24" s="167">
        <v>77</v>
      </c>
      <c r="E24" s="167">
        <v>1269</v>
      </c>
      <c r="F24" s="167">
        <v>4352</v>
      </c>
      <c r="G24" s="168">
        <f t="shared" si="0"/>
        <v>5699</v>
      </c>
    </row>
    <row r="25" spans="1:8" s="146" customFormat="1" ht="22.5" customHeight="1" x14ac:dyDescent="0.35">
      <c r="A25" s="202" t="s">
        <v>349</v>
      </c>
      <c r="B25" s="167">
        <v>0</v>
      </c>
      <c r="C25" s="167">
        <v>0</v>
      </c>
      <c r="D25" s="167">
        <v>525</v>
      </c>
      <c r="E25" s="167">
        <v>5405</v>
      </c>
      <c r="F25" s="167">
        <v>15641</v>
      </c>
      <c r="G25" s="168">
        <f t="shared" si="0"/>
        <v>21571</v>
      </c>
      <c r="H25" s="203"/>
    </row>
    <row r="26" spans="1:8" s="146" customFormat="1" ht="22.5" customHeight="1" x14ac:dyDescent="0.35">
      <c r="A26" s="202" t="s">
        <v>350</v>
      </c>
      <c r="B26" s="167">
        <v>0</v>
      </c>
      <c r="C26" s="167">
        <v>0</v>
      </c>
      <c r="D26" s="167">
        <v>0</v>
      </c>
      <c r="E26" s="167">
        <v>30</v>
      </c>
      <c r="F26" s="167">
        <v>87</v>
      </c>
      <c r="G26" s="168">
        <f t="shared" si="0"/>
        <v>117</v>
      </c>
    </row>
    <row r="27" spans="1:8" s="146" customFormat="1" ht="22.5" customHeight="1" x14ac:dyDescent="0.35">
      <c r="A27" s="202" t="s">
        <v>351</v>
      </c>
      <c r="B27" s="167">
        <v>1</v>
      </c>
      <c r="C27" s="167">
        <v>0</v>
      </c>
      <c r="D27" s="167">
        <v>1</v>
      </c>
      <c r="E27" s="167">
        <v>121</v>
      </c>
      <c r="F27" s="167">
        <v>371</v>
      </c>
      <c r="G27" s="168">
        <f t="shared" si="0"/>
        <v>494</v>
      </c>
    </row>
    <row r="28" spans="1:8" s="146" customFormat="1" ht="22.5" customHeight="1" x14ac:dyDescent="0.35">
      <c r="A28" s="202" t="s">
        <v>352</v>
      </c>
      <c r="B28" s="167">
        <v>0</v>
      </c>
      <c r="C28" s="167">
        <v>1</v>
      </c>
      <c r="D28" s="167">
        <v>20</v>
      </c>
      <c r="E28" s="167">
        <v>1440</v>
      </c>
      <c r="F28" s="167">
        <v>4283</v>
      </c>
      <c r="G28" s="168">
        <f t="shared" si="0"/>
        <v>5744</v>
      </c>
    </row>
    <row r="29" spans="1:8" s="146" customFormat="1" ht="22.5" customHeight="1" x14ac:dyDescent="0.35">
      <c r="A29" s="202" t="s">
        <v>353</v>
      </c>
      <c r="B29" s="167">
        <v>1</v>
      </c>
      <c r="C29" s="167">
        <v>0</v>
      </c>
      <c r="D29" s="167">
        <v>6</v>
      </c>
      <c r="E29" s="167">
        <v>891</v>
      </c>
      <c r="F29" s="167">
        <v>2069</v>
      </c>
      <c r="G29" s="168">
        <f t="shared" si="0"/>
        <v>2967</v>
      </c>
    </row>
    <row r="30" spans="1:8" s="146" customFormat="1" ht="22.5" customHeight="1" x14ac:dyDescent="0.35">
      <c r="A30" s="202" t="s">
        <v>354</v>
      </c>
      <c r="B30" s="167">
        <v>0</v>
      </c>
      <c r="C30" s="167">
        <v>0</v>
      </c>
      <c r="D30" s="167">
        <v>13</v>
      </c>
      <c r="E30" s="167">
        <v>1436</v>
      </c>
      <c r="F30" s="167">
        <v>3851</v>
      </c>
      <c r="G30" s="168">
        <f t="shared" si="0"/>
        <v>5300</v>
      </c>
    </row>
    <row r="31" spans="1:8" s="146" customFormat="1" ht="22.5" customHeight="1" x14ac:dyDescent="0.35">
      <c r="A31" s="202" t="s">
        <v>355</v>
      </c>
      <c r="B31" s="167">
        <v>0</v>
      </c>
      <c r="C31" s="167">
        <v>0</v>
      </c>
      <c r="D31" s="167">
        <v>32</v>
      </c>
      <c r="E31" s="167">
        <v>1231</v>
      </c>
      <c r="F31" s="167">
        <v>2474</v>
      </c>
      <c r="G31" s="168">
        <f t="shared" si="0"/>
        <v>3737</v>
      </c>
    </row>
    <row r="32" spans="1:8" s="146" customFormat="1" ht="22.5" customHeight="1" x14ac:dyDescent="0.35">
      <c r="A32" s="202" t="s">
        <v>356</v>
      </c>
      <c r="B32" s="167">
        <v>401</v>
      </c>
      <c r="C32" s="167">
        <v>12</v>
      </c>
      <c r="D32" s="167">
        <v>52</v>
      </c>
      <c r="E32" s="167">
        <v>2637</v>
      </c>
      <c r="F32" s="167">
        <v>5499</v>
      </c>
      <c r="G32" s="168">
        <f t="shared" si="0"/>
        <v>8601</v>
      </c>
    </row>
    <row r="33" spans="1:7" s="146" customFormat="1" ht="22.5" customHeight="1" x14ac:dyDescent="0.35">
      <c r="A33" s="202" t="s">
        <v>357</v>
      </c>
      <c r="B33" s="167">
        <v>25</v>
      </c>
      <c r="C33" s="167">
        <v>0</v>
      </c>
      <c r="D33" s="167">
        <v>0</v>
      </c>
      <c r="E33" s="167">
        <v>5</v>
      </c>
      <c r="F33" s="167">
        <v>168</v>
      </c>
      <c r="G33" s="168">
        <f t="shared" si="0"/>
        <v>198</v>
      </c>
    </row>
    <row r="34" spans="1:7" s="146" customFormat="1" ht="22.5" customHeight="1" x14ac:dyDescent="0.35">
      <c r="A34" s="202" t="s">
        <v>358</v>
      </c>
      <c r="B34" s="167">
        <v>147</v>
      </c>
      <c r="C34" s="167">
        <v>1</v>
      </c>
      <c r="D34" s="167">
        <v>0</v>
      </c>
      <c r="E34" s="167">
        <v>45</v>
      </c>
      <c r="F34" s="167">
        <v>400</v>
      </c>
      <c r="G34" s="168">
        <f t="shared" si="0"/>
        <v>593</v>
      </c>
    </row>
    <row r="35" spans="1:7" s="146" customFormat="1" ht="22.5" customHeight="1" x14ac:dyDescent="0.35">
      <c r="A35" s="204" t="s">
        <v>277</v>
      </c>
      <c r="B35" s="173">
        <f t="shared" ref="B35:G35" si="1">SUM(B8:B34)</f>
        <v>729</v>
      </c>
      <c r="C35" s="173">
        <f t="shared" si="1"/>
        <v>19</v>
      </c>
      <c r="D35" s="173">
        <f t="shared" si="1"/>
        <v>800</v>
      </c>
      <c r="E35" s="173">
        <f t="shared" si="1"/>
        <v>20030</v>
      </c>
      <c r="F35" s="173">
        <f t="shared" si="1"/>
        <v>69199</v>
      </c>
      <c r="G35" s="173">
        <f t="shared" si="1"/>
        <v>90777</v>
      </c>
    </row>
    <row r="36" spans="1:7" x14ac:dyDescent="0.35">
      <c r="A36" s="174" t="s">
        <v>278</v>
      </c>
      <c r="B36" s="146"/>
      <c r="C36" s="146"/>
      <c r="D36" s="146"/>
      <c r="F36" s="146"/>
      <c r="G36" s="175" t="s">
        <v>27</v>
      </c>
    </row>
    <row r="53" spans="7:7" x14ac:dyDescent="0.35">
      <c r="G53" s="176"/>
    </row>
  </sheetData>
  <mergeCells count="7">
    <mergeCell ref="A1:G1"/>
    <mergeCell ref="A2:G2"/>
    <mergeCell ref="A3:G3"/>
    <mergeCell ref="A5:A6"/>
    <mergeCell ref="B5:B7"/>
    <mergeCell ref="C5:C7"/>
    <mergeCell ref="G5:G6"/>
  </mergeCells>
  <pageMargins left="0.70866141732283472" right="0.19685039370078741" top="0.39370078740157483" bottom="0.19685039370078741" header="0.31496062992125984" footer="0.31496062992125984"/>
  <pageSetup paperSize="11" scale="7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G53"/>
  <sheetViews>
    <sheetView topLeftCell="A16" workbookViewId="0">
      <selection activeCell="E22" sqref="E22"/>
    </sheetView>
  </sheetViews>
  <sheetFormatPr defaultRowHeight="21" x14ac:dyDescent="0.35"/>
  <cols>
    <col min="1" max="1" width="38.42578125" style="174" customWidth="1"/>
    <col min="2" max="2" width="7.28515625" style="174" customWidth="1"/>
    <col min="3" max="6" width="9.140625" style="174"/>
    <col min="7" max="7" width="8.42578125" style="174" customWidth="1"/>
    <col min="8" max="16384" width="9.140625" style="174"/>
  </cols>
  <sheetData>
    <row r="1" spans="1:7" s="146" customFormat="1" ht="24.75" customHeight="1" x14ac:dyDescent="0.35">
      <c r="A1" s="145" t="s">
        <v>359</v>
      </c>
      <c r="B1" s="145"/>
      <c r="C1" s="145"/>
      <c r="D1" s="145"/>
      <c r="E1" s="145"/>
      <c r="F1" s="145"/>
      <c r="G1" s="145"/>
    </row>
    <row r="2" spans="1:7" s="146" customFormat="1" ht="24.75" customHeight="1" x14ac:dyDescent="0.35">
      <c r="A2" s="145" t="s">
        <v>360</v>
      </c>
      <c r="B2" s="145"/>
      <c r="C2" s="145"/>
      <c r="D2" s="145"/>
      <c r="E2" s="145"/>
      <c r="F2" s="145"/>
      <c r="G2" s="145"/>
    </row>
    <row r="3" spans="1:7" s="146" customFormat="1" ht="24.75" customHeight="1" x14ac:dyDescent="0.35">
      <c r="A3" s="148" t="s">
        <v>247</v>
      </c>
      <c r="B3" s="148"/>
      <c r="C3" s="148"/>
      <c r="D3" s="148"/>
      <c r="E3" s="148"/>
      <c r="F3" s="148"/>
      <c r="G3" s="148"/>
    </row>
    <row r="4" spans="1:7" s="146" customFormat="1" ht="24" customHeight="1" x14ac:dyDescent="0.35">
      <c r="A4" s="149"/>
      <c r="B4" s="150" t="s">
        <v>3</v>
      </c>
      <c r="C4" s="151"/>
      <c r="D4" s="151"/>
      <c r="E4" s="151"/>
      <c r="F4" s="151"/>
      <c r="G4" s="149"/>
    </row>
    <row r="5" spans="1:7" s="146" customFormat="1" ht="24" customHeight="1" x14ac:dyDescent="0.35">
      <c r="A5" s="152" t="s">
        <v>361</v>
      </c>
      <c r="B5" s="153" t="s">
        <v>4</v>
      </c>
      <c r="C5" s="153" t="s">
        <v>5</v>
      </c>
      <c r="D5" s="154" t="s">
        <v>37</v>
      </c>
      <c r="E5" s="154" t="s">
        <v>7</v>
      </c>
      <c r="F5" s="154" t="s">
        <v>7</v>
      </c>
      <c r="G5" s="155" t="s">
        <v>8</v>
      </c>
    </row>
    <row r="6" spans="1:7" s="146" customFormat="1" ht="24" customHeight="1" x14ac:dyDescent="0.35">
      <c r="A6" s="152"/>
      <c r="B6" s="155"/>
      <c r="C6" s="155"/>
      <c r="D6" s="157" t="s">
        <v>38</v>
      </c>
      <c r="E6" s="157" t="s">
        <v>198</v>
      </c>
      <c r="F6" s="157" t="s">
        <v>249</v>
      </c>
      <c r="G6" s="158"/>
    </row>
    <row r="7" spans="1:7" s="146" customFormat="1" x14ac:dyDescent="0.35">
      <c r="A7" s="159"/>
      <c r="B7" s="160"/>
      <c r="C7" s="160"/>
      <c r="D7" s="161" t="s">
        <v>9</v>
      </c>
      <c r="E7" s="161" t="s">
        <v>250</v>
      </c>
      <c r="F7" s="161" t="s">
        <v>41</v>
      </c>
      <c r="G7" s="162"/>
    </row>
    <row r="8" spans="1:7" s="146" customFormat="1" ht="22.5" customHeight="1" x14ac:dyDescent="0.35">
      <c r="A8" s="189" t="s">
        <v>362</v>
      </c>
      <c r="B8" s="164">
        <v>30</v>
      </c>
      <c r="C8" s="164">
        <v>6</v>
      </c>
      <c r="D8" s="164">
        <v>214</v>
      </c>
      <c r="E8" s="164">
        <v>6620</v>
      </c>
      <c r="F8" s="164">
        <v>5356</v>
      </c>
      <c r="G8" s="165">
        <f>SUM(B8:F8)</f>
        <v>12226</v>
      </c>
    </row>
    <row r="9" spans="1:7" s="146" customFormat="1" ht="22.5" customHeight="1" x14ac:dyDescent="0.35">
      <c r="A9" s="195" t="s">
        <v>363</v>
      </c>
      <c r="B9" s="167">
        <v>2</v>
      </c>
      <c r="C9" s="167">
        <v>0</v>
      </c>
      <c r="D9" s="167">
        <v>1</v>
      </c>
      <c r="E9" s="167">
        <v>165</v>
      </c>
      <c r="F9" s="167">
        <v>248</v>
      </c>
      <c r="G9" s="168">
        <f>SUM(B9:F9)</f>
        <v>416</v>
      </c>
    </row>
    <row r="10" spans="1:7" s="146" customFormat="1" ht="22.5" customHeight="1" x14ac:dyDescent="0.35">
      <c r="A10" s="195" t="s">
        <v>364</v>
      </c>
      <c r="B10" s="205">
        <v>2</v>
      </c>
      <c r="C10" s="169">
        <v>3</v>
      </c>
      <c r="D10" s="169">
        <v>16</v>
      </c>
      <c r="E10" s="169">
        <v>2389</v>
      </c>
      <c r="F10" s="169">
        <v>10920</v>
      </c>
      <c r="G10" s="168">
        <f>SUM(B10:F10)</f>
        <v>13330</v>
      </c>
    </row>
    <row r="11" spans="1:7" s="146" customFormat="1" ht="22.5" customHeight="1" x14ac:dyDescent="0.35">
      <c r="A11" s="195" t="s">
        <v>365</v>
      </c>
      <c r="B11" s="170">
        <v>72</v>
      </c>
      <c r="C11" s="169">
        <v>1</v>
      </c>
      <c r="D11" s="169">
        <v>3</v>
      </c>
      <c r="E11" s="170">
        <v>306</v>
      </c>
      <c r="F11" s="170">
        <v>824</v>
      </c>
      <c r="G11" s="171">
        <f>SUM(B11:F12)</f>
        <v>1206</v>
      </c>
    </row>
    <row r="12" spans="1:7" s="146" customFormat="1" ht="22.5" customHeight="1" x14ac:dyDescent="0.35">
      <c r="A12" s="206" t="s">
        <v>366</v>
      </c>
      <c r="B12" s="170"/>
      <c r="C12" s="170"/>
      <c r="D12" s="170"/>
      <c r="E12" s="170"/>
      <c r="F12" s="170"/>
      <c r="G12" s="171"/>
    </row>
    <row r="13" spans="1:7" s="146" customFormat="1" ht="22.5" customHeight="1" x14ac:dyDescent="0.35">
      <c r="A13" s="195" t="s">
        <v>367</v>
      </c>
      <c r="B13" s="167">
        <v>2</v>
      </c>
      <c r="C13" s="167">
        <v>1</v>
      </c>
      <c r="D13" s="167">
        <v>342</v>
      </c>
      <c r="E13" s="167">
        <v>624</v>
      </c>
      <c r="F13" s="167">
        <v>464</v>
      </c>
      <c r="G13" s="168">
        <f t="shared" ref="G13:G18" si="0">SUM(B13:F13)</f>
        <v>1433</v>
      </c>
    </row>
    <row r="14" spans="1:7" s="146" customFormat="1" ht="22.5" customHeight="1" x14ac:dyDescent="0.35">
      <c r="A14" s="195" t="s">
        <v>368</v>
      </c>
      <c r="B14" s="167">
        <v>14</v>
      </c>
      <c r="C14" s="167">
        <v>0</v>
      </c>
      <c r="D14" s="167">
        <v>180</v>
      </c>
      <c r="E14" s="167">
        <v>6937</v>
      </c>
      <c r="F14" s="167">
        <v>30643</v>
      </c>
      <c r="G14" s="168">
        <f t="shared" si="0"/>
        <v>37774</v>
      </c>
    </row>
    <row r="15" spans="1:7" s="146" customFormat="1" ht="22.5" customHeight="1" x14ac:dyDescent="0.35">
      <c r="A15" s="195" t="s">
        <v>369</v>
      </c>
      <c r="B15" s="167">
        <v>0</v>
      </c>
      <c r="C15" s="167">
        <v>0</v>
      </c>
      <c r="D15" s="167">
        <v>3</v>
      </c>
      <c r="E15" s="167">
        <v>517</v>
      </c>
      <c r="F15" s="167">
        <v>8800</v>
      </c>
      <c r="G15" s="168">
        <f t="shared" si="0"/>
        <v>9320</v>
      </c>
    </row>
    <row r="16" spans="1:7" s="146" customFormat="1" ht="22.5" customHeight="1" x14ac:dyDescent="0.35">
      <c r="A16" s="195" t="s">
        <v>370</v>
      </c>
      <c r="B16" s="167">
        <v>3</v>
      </c>
      <c r="C16" s="167">
        <v>0</v>
      </c>
      <c r="D16" s="167">
        <v>2</v>
      </c>
      <c r="E16" s="167">
        <v>712</v>
      </c>
      <c r="F16" s="167">
        <v>4559</v>
      </c>
      <c r="G16" s="168">
        <f t="shared" si="0"/>
        <v>5276</v>
      </c>
    </row>
    <row r="17" spans="1:7" s="146" customFormat="1" ht="22.5" customHeight="1" x14ac:dyDescent="0.35">
      <c r="A17" s="195" t="s">
        <v>371</v>
      </c>
      <c r="B17" s="167">
        <v>21</v>
      </c>
      <c r="C17" s="167">
        <v>1</v>
      </c>
      <c r="D17" s="167">
        <v>10</v>
      </c>
      <c r="E17" s="167">
        <v>930</v>
      </c>
      <c r="F17" s="167">
        <v>3843</v>
      </c>
      <c r="G17" s="168">
        <f t="shared" si="0"/>
        <v>4805</v>
      </c>
    </row>
    <row r="18" spans="1:7" s="146" customFormat="1" ht="22.5" customHeight="1" x14ac:dyDescent="0.35">
      <c r="A18" s="195" t="s">
        <v>372</v>
      </c>
      <c r="B18" s="167">
        <v>15</v>
      </c>
      <c r="C18" s="167">
        <v>0</v>
      </c>
      <c r="D18" s="167">
        <v>1</v>
      </c>
      <c r="E18" s="167">
        <v>81</v>
      </c>
      <c r="F18" s="167">
        <v>1237</v>
      </c>
      <c r="G18" s="168">
        <f t="shared" si="0"/>
        <v>1334</v>
      </c>
    </row>
    <row r="19" spans="1:7" s="146" customFormat="1" ht="22.5" customHeight="1" x14ac:dyDescent="0.35">
      <c r="A19" s="195" t="s">
        <v>373</v>
      </c>
      <c r="B19" s="169">
        <v>1</v>
      </c>
      <c r="C19" s="169">
        <v>0</v>
      </c>
      <c r="D19" s="169">
        <v>8</v>
      </c>
      <c r="E19" s="169">
        <v>13</v>
      </c>
      <c r="F19" s="170">
        <v>312</v>
      </c>
      <c r="G19" s="171">
        <f>SUM(B19:F20)</f>
        <v>334</v>
      </c>
    </row>
    <row r="20" spans="1:7" s="146" customFormat="1" ht="22.5" customHeight="1" x14ac:dyDescent="0.35">
      <c r="A20" s="206" t="s">
        <v>374</v>
      </c>
      <c r="B20" s="170"/>
      <c r="C20" s="170"/>
      <c r="D20" s="170"/>
      <c r="E20" s="169"/>
      <c r="F20" s="170"/>
      <c r="G20" s="171"/>
    </row>
    <row r="21" spans="1:7" s="146" customFormat="1" ht="22.5" customHeight="1" x14ac:dyDescent="0.35">
      <c r="A21" s="195" t="s">
        <v>375</v>
      </c>
      <c r="B21" s="170">
        <v>17</v>
      </c>
      <c r="C21" s="169">
        <v>0</v>
      </c>
      <c r="D21" s="169">
        <v>0</v>
      </c>
      <c r="E21" s="169">
        <v>4</v>
      </c>
      <c r="F21" s="170">
        <v>16</v>
      </c>
      <c r="G21" s="171">
        <f>SUM(B21:F22)</f>
        <v>37</v>
      </c>
    </row>
    <row r="22" spans="1:7" s="146" customFormat="1" ht="22.5" customHeight="1" x14ac:dyDescent="0.35">
      <c r="A22" s="195" t="s">
        <v>376</v>
      </c>
      <c r="B22" s="170"/>
      <c r="C22" s="170"/>
      <c r="D22" s="170"/>
      <c r="E22" s="170"/>
      <c r="F22" s="170"/>
      <c r="G22" s="171"/>
    </row>
    <row r="23" spans="1:7" s="146" customFormat="1" ht="22.5" customHeight="1" x14ac:dyDescent="0.35">
      <c r="A23" s="195" t="s">
        <v>377</v>
      </c>
      <c r="B23" s="167">
        <v>67</v>
      </c>
      <c r="C23" s="167">
        <v>2</v>
      </c>
      <c r="D23" s="167">
        <v>2</v>
      </c>
      <c r="E23" s="167">
        <v>74</v>
      </c>
      <c r="F23" s="167">
        <v>354</v>
      </c>
      <c r="G23" s="168">
        <f>SUM(B23:F23)</f>
        <v>499</v>
      </c>
    </row>
    <row r="24" spans="1:7" s="146" customFormat="1" ht="22.5" customHeight="1" x14ac:dyDescent="0.35">
      <c r="A24" s="195" t="s">
        <v>378</v>
      </c>
      <c r="B24" s="167">
        <v>0</v>
      </c>
      <c r="C24" s="167">
        <v>0</v>
      </c>
      <c r="D24" s="167">
        <v>0</v>
      </c>
      <c r="E24" s="167">
        <v>4</v>
      </c>
      <c r="F24" s="167">
        <v>163</v>
      </c>
      <c r="G24" s="168">
        <f>SUM(B24:F24)</f>
        <v>167</v>
      </c>
    </row>
    <row r="25" spans="1:7" s="146" customFormat="1" ht="22.5" customHeight="1" x14ac:dyDescent="0.35">
      <c r="A25" s="195" t="s">
        <v>379</v>
      </c>
      <c r="B25" s="167">
        <v>81</v>
      </c>
      <c r="C25" s="167">
        <v>3</v>
      </c>
      <c r="D25" s="167">
        <v>16</v>
      </c>
      <c r="E25" s="167">
        <v>526</v>
      </c>
      <c r="F25" s="167">
        <v>681</v>
      </c>
      <c r="G25" s="168">
        <f>SUM(B25:F25)</f>
        <v>1307</v>
      </c>
    </row>
    <row r="26" spans="1:7" s="146" customFormat="1" ht="22.5" customHeight="1" x14ac:dyDescent="0.35">
      <c r="A26" s="195" t="s">
        <v>380</v>
      </c>
      <c r="B26" s="170">
        <v>402</v>
      </c>
      <c r="C26" s="169">
        <v>2</v>
      </c>
      <c r="D26" s="169">
        <v>2</v>
      </c>
      <c r="E26" s="170">
        <v>128</v>
      </c>
      <c r="F26" s="170">
        <v>779</v>
      </c>
      <c r="G26" s="171">
        <f>SUM(B26:F27)</f>
        <v>1313</v>
      </c>
    </row>
    <row r="27" spans="1:7" s="146" customFormat="1" ht="22.5" customHeight="1" x14ac:dyDescent="0.35">
      <c r="A27" s="195" t="s">
        <v>381</v>
      </c>
      <c r="B27" s="207"/>
      <c r="C27" s="207"/>
      <c r="D27" s="207"/>
      <c r="E27" s="207"/>
      <c r="F27" s="207"/>
      <c r="G27" s="208"/>
    </row>
    <row r="28" spans="1:7" s="146" customFormat="1" ht="22.5" customHeight="1" x14ac:dyDescent="0.35">
      <c r="A28" s="172" t="s">
        <v>277</v>
      </c>
      <c r="B28" s="200">
        <f t="shared" ref="B28:G28" si="1">SUM(B8:B27)</f>
        <v>729</v>
      </c>
      <c r="C28" s="200">
        <f t="shared" si="1"/>
        <v>19</v>
      </c>
      <c r="D28" s="200">
        <f t="shared" si="1"/>
        <v>800</v>
      </c>
      <c r="E28" s="200">
        <f t="shared" si="1"/>
        <v>20030</v>
      </c>
      <c r="F28" s="200">
        <f t="shared" si="1"/>
        <v>69199</v>
      </c>
      <c r="G28" s="200">
        <f t="shared" si="1"/>
        <v>90777</v>
      </c>
    </row>
    <row r="29" spans="1:7" s="146" customFormat="1" ht="22.5" customHeight="1" x14ac:dyDescent="0.35">
      <c r="A29" s="174" t="s">
        <v>278</v>
      </c>
      <c r="G29" s="175" t="s">
        <v>27</v>
      </c>
    </row>
    <row r="30" spans="1:7" s="146" customFormat="1" ht="22.5" customHeight="1" x14ac:dyDescent="0.35"/>
    <row r="31" spans="1:7" s="146" customFormat="1" ht="22.5" customHeight="1" x14ac:dyDescent="0.35"/>
    <row r="32" spans="1:7" s="146" customFormat="1" ht="22.5" customHeight="1" x14ac:dyDescent="0.35"/>
    <row r="33" s="146" customFormat="1" ht="22.5" customHeight="1" x14ac:dyDescent="0.35"/>
    <row r="34" s="146" customFormat="1" ht="22.5" customHeight="1" x14ac:dyDescent="0.35"/>
    <row r="35" s="146" customFormat="1" ht="22.5" customHeight="1" x14ac:dyDescent="0.35"/>
    <row r="53" spans="7:7" x14ac:dyDescent="0.35">
      <c r="G53" s="176"/>
    </row>
  </sheetData>
  <mergeCells count="7">
    <mergeCell ref="A1:G1"/>
    <mergeCell ref="A2:G2"/>
    <mergeCell ref="A3:G3"/>
    <mergeCell ref="A5:A6"/>
    <mergeCell ref="B5:B7"/>
    <mergeCell ref="C5:C7"/>
    <mergeCell ref="G5:G6"/>
  </mergeCells>
  <pageMargins left="0.70866141732283472" right="0.19685039370078741" top="0.39370078740157483" bottom="0.19685039370078741" header="0.31496062992125984" footer="0.31496062992125984"/>
  <pageSetup paperSize="11" scale="7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G53"/>
  <sheetViews>
    <sheetView workbookViewId="0">
      <selection activeCell="E22" sqref="E22"/>
    </sheetView>
  </sheetViews>
  <sheetFormatPr defaultRowHeight="21" x14ac:dyDescent="0.35"/>
  <cols>
    <col min="1" max="1" width="21.42578125" style="174" customWidth="1"/>
    <col min="2" max="7" width="11.140625" style="174" customWidth="1"/>
    <col min="8" max="8" width="6.42578125" style="174" customWidth="1"/>
    <col min="9" max="16384" width="9.140625" style="174"/>
  </cols>
  <sheetData>
    <row r="1" spans="1:7" s="146" customFormat="1" ht="24.75" customHeight="1" x14ac:dyDescent="0.35">
      <c r="A1" s="145" t="s">
        <v>382</v>
      </c>
      <c r="B1" s="145"/>
      <c r="C1" s="145"/>
      <c r="D1" s="145"/>
      <c r="E1" s="145"/>
      <c r="F1" s="145"/>
      <c r="G1" s="145"/>
    </row>
    <row r="2" spans="1:7" s="146" customFormat="1" ht="24.75" customHeight="1" x14ac:dyDescent="0.35">
      <c r="A2" s="145" t="s">
        <v>383</v>
      </c>
      <c r="B2" s="145"/>
      <c r="C2" s="145"/>
      <c r="D2" s="145"/>
      <c r="E2" s="145"/>
      <c r="F2" s="145"/>
      <c r="G2" s="145"/>
    </row>
    <row r="3" spans="1:7" s="146" customFormat="1" ht="24.75" customHeight="1" x14ac:dyDescent="0.35">
      <c r="A3" s="148" t="s">
        <v>247</v>
      </c>
      <c r="B3" s="148"/>
      <c r="C3" s="148"/>
      <c r="D3" s="148"/>
      <c r="E3" s="148"/>
      <c r="F3" s="148"/>
      <c r="G3" s="148"/>
    </row>
    <row r="4" spans="1:7" s="146" customFormat="1" ht="24" customHeight="1" x14ac:dyDescent="0.35">
      <c r="A4" s="149"/>
      <c r="B4" s="150" t="s">
        <v>3</v>
      </c>
      <c r="C4" s="151"/>
      <c r="D4" s="151"/>
      <c r="E4" s="151"/>
      <c r="F4" s="151"/>
      <c r="G4" s="149"/>
    </row>
    <row r="5" spans="1:7" s="146" customFormat="1" ht="24" customHeight="1" x14ac:dyDescent="0.35">
      <c r="A5" s="152" t="s">
        <v>384</v>
      </c>
      <c r="B5" s="153" t="s">
        <v>4</v>
      </c>
      <c r="C5" s="153" t="s">
        <v>5</v>
      </c>
      <c r="D5" s="154" t="s">
        <v>37</v>
      </c>
      <c r="E5" s="154" t="s">
        <v>7</v>
      </c>
      <c r="F5" s="154" t="s">
        <v>7</v>
      </c>
      <c r="G5" s="155" t="s">
        <v>8</v>
      </c>
    </row>
    <row r="6" spans="1:7" s="146" customFormat="1" ht="24" customHeight="1" x14ac:dyDescent="0.35">
      <c r="A6" s="156"/>
      <c r="B6" s="155"/>
      <c r="C6" s="155"/>
      <c r="D6" s="157" t="s">
        <v>38</v>
      </c>
      <c r="E6" s="157" t="s">
        <v>198</v>
      </c>
      <c r="F6" s="157" t="s">
        <v>249</v>
      </c>
      <c r="G6" s="158"/>
    </row>
    <row r="7" spans="1:7" s="146" customFormat="1" x14ac:dyDescent="0.35">
      <c r="A7" s="159"/>
      <c r="B7" s="160"/>
      <c r="C7" s="160"/>
      <c r="D7" s="161" t="s">
        <v>9</v>
      </c>
      <c r="E7" s="161" t="s">
        <v>250</v>
      </c>
      <c r="F7" s="161" t="s">
        <v>41</v>
      </c>
      <c r="G7" s="162"/>
    </row>
    <row r="8" spans="1:7" s="146" customFormat="1" ht="22.5" customHeight="1" x14ac:dyDescent="0.35">
      <c r="A8" s="209" t="s">
        <v>385</v>
      </c>
      <c r="B8" s="164">
        <v>0</v>
      </c>
      <c r="C8" s="164">
        <v>0</v>
      </c>
      <c r="D8" s="164">
        <v>0</v>
      </c>
      <c r="E8" s="164">
        <v>0</v>
      </c>
      <c r="F8" s="164">
        <v>0</v>
      </c>
      <c r="G8" s="165">
        <f t="shared" ref="G8:G19" si="0">SUM(B8:F8)</f>
        <v>0</v>
      </c>
    </row>
    <row r="9" spans="1:7" s="146" customFormat="1" ht="22.5" customHeight="1" x14ac:dyDescent="0.35">
      <c r="A9" s="210" t="s">
        <v>386</v>
      </c>
      <c r="B9" s="167">
        <v>3</v>
      </c>
      <c r="C9" s="167">
        <v>0</v>
      </c>
      <c r="D9" s="167">
        <v>1</v>
      </c>
      <c r="E9" s="167">
        <v>12</v>
      </c>
      <c r="F9" s="167">
        <v>59</v>
      </c>
      <c r="G9" s="168">
        <f t="shared" si="0"/>
        <v>75</v>
      </c>
    </row>
    <row r="10" spans="1:7" s="146" customFormat="1" ht="22.5" customHeight="1" x14ac:dyDescent="0.35">
      <c r="A10" s="210" t="s">
        <v>387</v>
      </c>
      <c r="B10" s="167">
        <v>11</v>
      </c>
      <c r="C10" s="167">
        <v>0</v>
      </c>
      <c r="D10" s="167">
        <v>6</v>
      </c>
      <c r="E10" s="167">
        <v>227</v>
      </c>
      <c r="F10" s="167">
        <v>1240</v>
      </c>
      <c r="G10" s="168">
        <f t="shared" si="0"/>
        <v>1484</v>
      </c>
    </row>
    <row r="11" spans="1:7" s="146" customFormat="1" ht="22.5" customHeight="1" x14ac:dyDescent="0.35">
      <c r="A11" s="210" t="s">
        <v>388</v>
      </c>
      <c r="B11" s="167">
        <v>60</v>
      </c>
      <c r="C11" s="167">
        <v>0</v>
      </c>
      <c r="D11" s="167">
        <v>69</v>
      </c>
      <c r="E11" s="167">
        <v>2296</v>
      </c>
      <c r="F11" s="167">
        <v>11351</v>
      </c>
      <c r="G11" s="168">
        <f t="shared" si="0"/>
        <v>13776</v>
      </c>
    </row>
    <row r="12" spans="1:7" s="146" customFormat="1" ht="22.5" customHeight="1" x14ac:dyDescent="0.35">
      <c r="A12" s="210" t="s">
        <v>389</v>
      </c>
      <c r="B12" s="167">
        <v>74</v>
      </c>
      <c r="C12" s="167">
        <v>2</v>
      </c>
      <c r="D12" s="167">
        <v>93</v>
      </c>
      <c r="E12" s="167">
        <v>3142</v>
      </c>
      <c r="F12" s="167">
        <v>14145</v>
      </c>
      <c r="G12" s="168">
        <f t="shared" si="0"/>
        <v>17456</v>
      </c>
    </row>
    <row r="13" spans="1:7" s="146" customFormat="1" ht="22.5" customHeight="1" x14ac:dyDescent="0.35">
      <c r="A13" s="210" t="s">
        <v>390</v>
      </c>
      <c r="B13" s="167">
        <v>91</v>
      </c>
      <c r="C13" s="167">
        <v>1</v>
      </c>
      <c r="D13" s="167">
        <v>119</v>
      </c>
      <c r="E13" s="167">
        <v>3019</v>
      </c>
      <c r="F13" s="167">
        <v>11269</v>
      </c>
      <c r="G13" s="168">
        <f t="shared" si="0"/>
        <v>14499</v>
      </c>
    </row>
    <row r="14" spans="1:7" s="146" customFormat="1" ht="22.5" customHeight="1" x14ac:dyDescent="0.35">
      <c r="A14" s="210" t="s">
        <v>391</v>
      </c>
      <c r="B14" s="167">
        <v>90</v>
      </c>
      <c r="C14" s="167">
        <v>2</v>
      </c>
      <c r="D14" s="167">
        <v>102</v>
      </c>
      <c r="E14" s="167">
        <v>2744</v>
      </c>
      <c r="F14" s="167">
        <v>9038</v>
      </c>
      <c r="G14" s="168">
        <f t="shared" si="0"/>
        <v>11976</v>
      </c>
    </row>
    <row r="15" spans="1:7" s="146" customFormat="1" ht="22.5" customHeight="1" x14ac:dyDescent="0.35">
      <c r="A15" s="210" t="s">
        <v>392</v>
      </c>
      <c r="B15" s="167">
        <v>110</v>
      </c>
      <c r="C15" s="167">
        <v>8</v>
      </c>
      <c r="D15" s="167">
        <v>102</v>
      </c>
      <c r="E15" s="167">
        <v>2691</v>
      </c>
      <c r="F15" s="167">
        <v>7706</v>
      </c>
      <c r="G15" s="168">
        <f t="shared" si="0"/>
        <v>10617</v>
      </c>
    </row>
    <row r="16" spans="1:7" s="146" customFormat="1" ht="22.5" customHeight="1" x14ac:dyDescent="0.35">
      <c r="A16" s="210" t="s">
        <v>393</v>
      </c>
      <c r="B16" s="167">
        <v>95</v>
      </c>
      <c r="C16" s="167">
        <v>2</v>
      </c>
      <c r="D16" s="167">
        <v>124</v>
      </c>
      <c r="E16" s="167">
        <v>2429</v>
      </c>
      <c r="F16" s="167">
        <v>6353</v>
      </c>
      <c r="G16" s="168">
        <f t="shared" si="0"/>
        <v>9003</v>
      </c>
    </row>
    <row r="17" spans="1:7" s="146" customFormat="1" ht="22.5" customHeight="1" x14ac:dyDescent="0.35">
      <c r="A17" s="210" t="s">
        <v>394</v>
      </c>
      <c r="B17" s="167">
        <v>88</v>
      </c>
      <c r="C17" s="167">
        <v>1</v>
      </c>
      <c r="D17" s="167">
        <v>95</v>
      </c>
      <c r="E17" s="167">
        <v>1883</v>
      </c>
      <c r="F17" s="167">
        <v>4515</v>
      </c>
      <c r="G17" s="168">
        <f t="shared" si="0"/>
        <v>6582</v>
      </c>
    </row>
    <row r="18" spans="1:7" s="146" customFormat="1" ht="22.5" customHeight="1" x14ac:dyDescent="0.35">
      <c r="A18" s="210" t="s">
        <v>395</v>
      </c>
      <c r="B18" s="167">
        <v>66</v>
      </c>
      <c r="C18" s="167">
        <v>2</v>
      </c>
      <c r="D18" s="167">
        <v>67</v>
      </c>
      <c r="E18" s="167">
        <v>1126</v>
      </c>
      <c r="F18" s="167">
        <v>2579</v>
      </c>
      <c r="G18" s="168">
        <f t="shared" si="0"/>
        <v>3840</v>
      </c>
    </row>
    <row r="19" spans="1:7" s="146" customFormat="1" ht="22.5" customHeight="1" x14ac:dyDescent="0.35">
      <c r="A19" s="210" t="s">
        <v>396</v>
      </c>
      <c r="B19" s="167">
        <v>41</v>
      </c>
      <c r="C19" s="167">
        <v>1</v>
      </c>
      <c r="D19" s="167">
        <v>22</v>
      </c>
      <c r="E19" s="167">
        <v>461</v>
      </c>
      <c r="F19" s="167">
        <v>944</v>
      </c>
      <c r="G19" s="168">
        <f t="shared" si="0"/>
        <v>1469</v>
      </c>
    </row>
    <row r="20" spans="1:7" s="146" customFormat="1" ht="22.5" customHeight="1" x14ac:dyDescent="0.35">
      <c r="A20" s="172" t="s">
        <v>277</v>
      </c>
      <c r="B20" s="173">
        <f t="shared" ref="B20:G20" si="1">SUM(B8:B19)</f>
        <v>729</v>
      </c>
      <c r="C20" s="173">
        <f t="shared" si="1"/>
        <v>19</v>
      </c>
      <c r="D20" s="173">
        <f t="shared" si="1"/>
        <v>800</v>
      </c>
      <c r="E20" s="173">
        <f t="shared" si="1"/>
        <v>20030</v>
      </c>
      <c r="F20" s="173">
        <f t="shared" si="1"/>
        <v>69199</v>
      </c>
      <c r="G20" s="173">
        <f t="shared" si="1"/>
        <v>90777</v>
      </c>
    </row>
    <row r="21" spans="1:7" s="146" customFormat="1" ht="22.5" customHeight="1" x14ac:dyDescent="0.35">
      <c r="A21" s="174" t="s">
        <v>328</v>
      </c>
      <c r="G21" s="175" t="s">
        <v>27</v>
      </c>
    </row>
    <row r="53" spans="7:7" x14ac:dyDescent="0.35">
      <c r="G53" s="176"/>
    </row>
  </sheetData>
  <mergeCells count="7">
    <mergeCell ref="A1:G1"/>
    <mergeCell ref="A2:G2"/>
    <mergeCell ref="A3:G3"/>
    <mergeCell ref="A5:A6"/>
    <mergeCell ref="B5:B7"/>
    <mergeCell ref="C5:C7"/>
    <mergeCell ref="G5:G6"/>
  </mergeCells>
  <pageMargins left="0.70866141732283472" right="0.19685039370078741" top="0.39370078740157483" bottom="0.19685039370078741" header="0.31496062992125984" footer="0.31496062992125984"/>
  <pageSetup paperSize="11" scale="7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G53"/>
  <sheetViews>
    <sheetView zoomScale="115" zoomScaleNormal="115" workbookViewId="0">
      <selection activeCell="E22" sqref="E22"/>
    </sheetView>
  </sheetViews>
  <sheetFormatPr defaultRowHeight="21" x14ac:dyDescent="0.35"/>
  <cols>
    <col min="1" max="1" width="21.42578125" style="174" customWidth="1"/>
    <col min="2" max="7" width="11.140625" style="174" customWidth="1"/>
    <col min="8" max="8" width="6.42578125" style="174" customWidth="1"/>
    <col min="9" max="16384" width="9.140625" style="174"/>
  </cols>
  <sheetData>
    <row r="1" spans="1:7" s="146" customFormat="1" ht="24.75" customHeight="1" x14ac:dyDescent="0.35">
      <c r="A1" s="145" t="s">
        <v>397</v>
      </c>
      <c r="B1" s="145"/>
      <c r="C1" s="145"/>
      <c r="D1" s="145"/>
      <c r="E1" s="145"/>
      <c r="F1" s="145"/>
      <c r="G1" s="145"/>
    </row>
    <row r="2" spans="1:7" s="146" customFormat="1" ht="24.75" customHeight="1" x14ac:dyDescent="0.35">
      <c r="A2" s="145" t="s">
        <v>398</v>
      </c>
      <c r="B2" s="145"/>
      <c r="C2" s="145"/>
      <c r="D2" s="145"/>
      <c r="E2" s="145"/>
      <c r="F2" s="145"/>
      <c r="G2" s="145"/>
    </row>
    <row r="3" spans="1:7" s="146" customFormat="1" ht="24.75" customHeight="1" x14ac:dyDescent="0.35">
      <c r="A3" s="148" t="s">
        <v>247</v>
      </c>
      <c r="B3" s="148"/>
      <c r="C3" s="148"/>
      <c r="D3" s="148"/>
      <c r="E3" s="148"/>
      <c r="F3" s="148"/>
      <c r="G3" s="148"/>
    </row>
    <row r="4" spans="1:7" s="146" customFormat="1" ht="24" customHeight="1" x14ac:dyDescent="0.35">
      <c r="A4" s="149"/>
      <c r="B4" s="150" t="s">
        <v>3</v>
      </c>
      <c r="C4" s="151"/>
      <c r="D4" s="151"/>
      <c r="E4" s="151"/>
      <c r="F4" s="151"/>
      <c r="G4" s="149"/>
    </row>
    <row r="5" spans="1:7" s="146" customFormat="1" ht="24" customHeight="1" x14ac:dyDescent="0.35">
      <c r="A5" s="211" t="s">
        <v>399</v>
      </c>
      <c r="B5" s="153" t="s">
        <v>4</v>
      </c>
      <c r="C5" s="153" t="s">
        <v>5</v>
      </c>
      <c r="D5" s="154" t="s">
        <v>37</v>
      </c>
      <c r="E5" s="154" t="s">
        <v>7</v>
      </c>
      <c r="F5" s="154" t="s">
        <v>7</v>
      </c>
      <c r="G5" s="155" t="s">
        <v>8</v>
      </c>
    </row>
    <row r="6" spans="1:7" s="146" customFormat="1" ht="24" customHeight="1" x14ac:dyDescent="0.35">
      <c r="A6" s="156"/>
      <c r="B6" s="155"/>
      <c r="C6" s="155"/>
      <c r="D6" s="157" t="s">
        <v>38</v>
      </c>
      <c r="E6" s="157" t="s">
        <v>198</v>
      </c>
      <c r="F6" s="157" t="s">
        <v>249</v>
      </c>
      <c r="G6" s="158"/>
    </row>
    <row r="7" spans="1:7" s="146" customFormat="1" x14ac:dyDescent="0.35">
      <c r="A7" s="159"/>
      <c r="B7" s="160"/>
      <c r="C7" s="160"/>
      <c r="D7" s="161" t="s">
        <v>9</v>
      </c>
      <c r="E7" s="161" t="s">
        <v>250</v>
      </c>
      <c r="F7" s="161" t="s">
        <v>41</v>
      </c>
      <c r="G7" s="162"/>
    </row>
    <row r="8" spans="1:7" s="146" customFormat="1" ht="22.5" customHeight="1" x14ac:dyDescent="0.35">
      <c r="A8" s="209" t="s">
        <v>400</v>
      </c>
      <c r="B8" s="164">
        <v>197</v>
      </c>
      <c r="C8" s="164">
        <v>8</v>
      </c>
      <c r="D8" s="164">
        <v>99</v>
      </c>
      <c r="E8" s="164">
        <v>2527</v>
      </c>
      <c r="F8" s="164">
        <v>7119</v>
      </c>
      <c r="G8" s="165">
        <f t="shared" ref="G8:G15" si="0">SUM(B8:F8)</f>
        <v>9950</v>
      </c>
    </row>
    <row r="9" spans="1:7" s="146" customFormat="1" ht="22.5" customHeight="1" x14ac:dyDescent="0.35">
      <c r="A9" s="210" t="s">
        <v>401</v>
      </c>
      <c r="B9" s="167">
        <v>74</v>
      </c>
      <c r="C9" s="167">
        <v>1</v>
      </c>
      <c r="D9" s="167">
        <v>84</v>
      </c>
      <c r="E9" s="167">
        <v>1740</v>
      </c>
      <c r="F9" s="167">
        <v>5327</v>
      </c>
      <c r="G9" s="168">
        <f t="shared" si="0"/>
        <v>7226</v>
      </c>
    </row>
    <row r="10" spans="1:7" s="146" customFormat="1" ht="22.5" customHeight="1" x14ac:dyDescent="0.35">
      <c r="A10" s="210" t="s">
        <v>402</v>
      </c>
      <c r="B10" s="167">
        <v>128</v>
      </c>
      <c r="C10" s="167">
        <v>3</v>
      </c>
      <c r="D10" s="167">
        <v>124</v>
      </c>
      <c r="E10" s="167">
        <v>3060</v>
      </c>
      <c r="F10" s="167">
        <v>9231</v>
      </c>
      <c r="G10" s="168">
        <f t="shared" si="0"/>
        <v>12546</v>
      </c>
    </row>
    <row r="11" spans="1:7" s="146" customFormat="1" ht="22.5" customHeight="1" x14ac:dyDescent="0.35">
      <c r="A11" s="210" t="s">
        <v>403</v>
      </c>
      <c r="B11" s="167">
        <v>77</v>
      </c>
      <c r="C11" s="167">
        <v>3</v>
      </c>
      <c r="D11" s="167">
        <v>107</v>
      </c>
      <c r="E11" s="167">
        <v>2681</v>
      </c>
      <c r="F11" s="167">
        <v>8540</v>
      </c>
      <c r="G11" s="168">
        <f t="shared" si="0"/>
        <v>11408</v>
      </c>
    </row>
    <row r="12" spans="1:7" s="146" customFormat="1" ht="22.5" customHeight="1" x14ac:dyDescent="0.35">
      <c r="A12" s="210" t="s">
        <v>404</v>
      </c>
      <c r="B12" s="167">
        <v>55</v>
      </c>
      <c r="C12" s="167">
        <v>3</v>
      </c>
      <c r="D12" s="167">
        <v>108</v>
      </c>
      <c r="E12" s="167">
        <v>2488</v>
      </c>
      <c r="F12" s="167">
        <v>8709</v>
      </c>
      <c r="G12" s="168">
        <f t="shared" si="0"/>
        <v>11363</v>
      </c>
    </row>
    <row r="13" spans="1:7" s="146" customFormat="1" ht="22.5" customHeight="1" x14ac:dyDescent="0.35">
      <c r="A13" s="210" t="s">
        <v>405</v>
      </c>
      <c r="B13" s="167">
        <v>73</v>
      </c>
      <c r="C13" s="167">
        <v>1</v>
      </c>
      <c r="D13" s="167">
        <v>133</v>
      </c>
      <c r="E13" s="167">
        <v>3229</v>
      </c>
      <c r="F13" s="167">
        <v>11214</v>
      </c>
      <c r="G13" s="168">
        <f t="shared" si="0"/>
        <v>14650</v>
      </c>
    </row>
    <row r="14" spans="1:7" s="146" customFormat="1" ht="22.5" customHeight="1" x14ac:dyDescent="0.35">
      <c r="A14" s="210" t="s">
        <v>406</v>
      </c>
      <c r="B14" s="167">
        <v>44</v>
      </c>
      <c r="C14" s="167">
        <v>0</v>
      </c>
      <c r="D14" s="167">
        <v>63</v>
      </c>
      <c r="E14" s="167">
        <v>1671</v>
      </c>
      <c r="F14" s="167">
        <v>6301</v>
      </c>
      <c r="G14" s="168">
        <f t="shared" si="0"/>
        <v>8079</v>
      </c>
    </row>
    <row r="15" spans="1:7" s="146" customFormat="1" ht="22.5" customHeight="1" x14ac:dyDescent="0.35">
      <c r="A15" s="210" t="s">
        <v>407</v>
      </c>
      <c r="B15" s="167">
        <v>81</v>
      </c>
      <c r="C15" s="167">
        <v>0</v>
      </c>
      <c r="D15" s="167">
        <v>82</v>
      </c>
      <c r="E15" s="167">
        <v>2634</v>
      </c>
      <c r="F15" s="167">
        <v>12758</v>
      </c>
      <c r="G15" s="168">
        <f t="shared" si="0"/>
        <v>15555</v>
      </c>
    </row>
    <row r="16" spans="1:7" s="146" customFormat="1" ht="22.5" customHeight="1" x14ac:dyDescent="0.35">
      <c r="A16" s="172" t="s">
        <v>277</v>
      </c>
      <c r="B16" s="173">
        <f t="shared" ref="B16:G16" si="1">SUM(B8:B15)</f>
        <v>729</v>
      </c>
      <c r="C16" s="173">
        <f t="shared" si="1"/>
        <v>19</v>
      </c>
      <c r="D16" s="173">
        <f t="shared" si="1"/>
        <v>800</v>
      </c>
      <c r="E16" s="173">
        <f t="shared" si="1"/>
        <v>20030</v>
      </c>
      <c r="F16" s="173">
        <f t="shared" si="1"/>
        <v>69199</v>
      </c>
      <c r="G16" s="173">
        <f t="shared" si="1"/>
        <v>90777</v>
      </c>
    </row>
    <row r="17" spans="1:7" s="146" customFormat="1" ht="22.5" customHeight="1" x14ac:dyDescent="0.35">
      <c r="A17" s="174" t="s">
        <v>328</v>
      </c>
      <c r="G17" s="175" t="s">
        <v>27</v>
      </c>
    </row>
    <row r="53" spans="7:7" x14ac:dyDescent="0.35">
      <c r="G53" s="176"/>
    </row>
  </sheetData>
  <mergeCells count="7">
    <mergeCell ref="A1:G1"/>
    <mergeCell ref="A2:G2"/>
    <mergeCell ref="A3:G3"/>
    <mergeCell ref="A5:A6"/>
    <mergeCell ref="B5:B7"/>
    <mergeCell ref="C5:C7"/>
    <mergeCell ref="G5:G6"/>
  </mergeCells>
  <pageMargins left="0.70866141732283472" right="0.19685039370078741" top="0.39370078740157483" bottom="0.19685039370078741" header="0.31496062992125984" footer="0.31496062992125984"/>
  <pageSetup paperSize="11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6.</vt:lpstr>
      <vt:lpstr>13</vt:lpstr>
      <vt:lpstr>14</vt:lpstr>
      <vt:lpstr>18.สาเหตุ</vt:lpstr>
      <vt:lpstr>โรค</vt:lpstr>
      <vt:lpstr>19.สิ่ง</vt:lpstr>
      <vt:lpstr>20.อวัยวะ</vt:lpstr>
      <vt:lpstr>21.ผล</vt:lpstr>
      <vt:lpstr>22.อายุ</vt:lpstr>
      <vt:lpstr>23.ขนาด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Santirat Kaenthong</dc:creator>
  <cp:lastModifiedBy>Santirat Kaenthong</cp:lastModifiedBy>
  <dcterms:created xsi:type="dcterms:W3CDTF">2026-02-24T07:37:43Z</dcterms:created>
  <dcterms:modified xsi:type="dcterms:W3CDTF">2026-02-24T07:40:01Z</dcterms:modified>
</cp:coreProperties>
</file>